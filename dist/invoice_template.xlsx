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226b1458c44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고객정산서" sheetId="1" r:id="R409ee3e2ca8f459c"/>
    <x:sheet xmlns:r="http://schemas.openxmlformats.org/officeDocument/2006/relationships" name="라방페이지_예시" sheetId="2" r:id="Re927a43612644164"/>
    <x:sheet xmlns:r="http://schemas.openxmlformats.org/officeDocument/2006/relationships" name="회원관리_예시" sheetId="3" r:id="R17d08e0ae50d401d"/>
    <x:sheet xmlns:r="http://schemas.openxmlformats.org/officeDocument/2006/relationships" name="기본설정" sheetId="4" r:id="R8c13216f0d8f4051"/>
  </x:sheets>
</x:workbook>
</file>

<file path=xl/sharedStrings.xml><?xml version="1.0" encoding="utf-8"?>
<x:sst xmlns:x="http://schemas.openxmlformats.org/spreadsheetml/2006/main">
  <x:si>
    <x:t xml:space="preserve">정산번호  #LIVE-20260619-001</x:t>
  </x:si>
  <x:si>
    <x:t xml:space="preserve">여깁니다유 라이브 정산서</x:t>
  </x:si>
  <x:si>
    <x:t xml:space="preserve">라방날짜</x:t>
  </x:si>
  <x:si>
    <x:t xml:space="preserve">2026-06-19</x:t>
  </x:si>
  <x:si>
    <x:t xml:space="preserve">구매자명</x:t>
  </x:si>
  <x:si>
    <x:t xml:space="preserve">홍길동</x:t>
  </x:si>
  <x:si>
    <x:t xml:space="preserve">연락처</x:t>
  </x:si>
  <x:si>
    <x:t xml:space="preserve">010-1234-5678</x:t>
  </x:si>
  <x:si>
    <x:t xml:space="preserve">킵</x:t>
  </x:si>
  <x:si>
    <x:t xml:space="preserve">N</x:t>
  </x:si>
  <x:si>
    <x:t xml:space="preserve">결제방법</x:t>
  </x:si>
  <x:si>
    <x:t xml:space="preserve">계좌이체</x:t>
  </x:si>
  <x:si>
    <x:t xml:space="preserve">입금기한</x:t>
  </x:si>
  <x:si>
    <x:t xml:space="preserve">24시간 이내</x:t>
  </x:si>
  <x:si>
    <x:t xml:space="preserve">배송비</x:t>
  </x:si>
  <x:si>
    <x:t xml:space="preserve">별명/아이디</x:t>
  </x:si>
  <x:si>
    <x:t xml:space="preserve">김뽀롱</x:t>
  </x:si>
  <x:si>
    <x:t xml:space="preserve">주소</x:t>
  </x:si>
  <x:si>
    <x:t xml:space="preserve">강원도 홍천군 예시로 123 여깁니다유아파트 101동 101호</x:t>
  </x:si>
  <x:si>
    <x:t xml:space="preserve">입금계좌</x:t>
  </x:si>
  <x:si>
    <x:t xml:space="preserve">농협 000-0000-0000 / 예금주: 여깁니다유</x:t>
  </x:si>
  <x:si>
    <x:t xml:space="preserve">No</x:t>
  </x:si>
  <x:si>
    <x:t xml:space="preserve">상품명</x:t>
  </x:si>
  <x:si>
    <x:t xml:space="preserve">수량</x:t>
  </x:si>
  <x:si>
    <x:t xml:space="preserve">금액</x:t>
  </x:si>
  <x:si>
    <x:t xml:space="preserve">선결제 유무</x:t>
  </x:si>
  <x:si>
    <x:t xml:space="preserve">실결제금액</x:t>
  </x:si>
  <x:si>
    <x:t xml:space="preserve">예시 상품 1</x:t>
  </x:si>
  <x:si>
    <x:t xml:space="preserve">Y</x:t>
  </x:si>
  <x:si>
    <x:t xml:space="preserve">예시 상품 2</x:t>
  </x:si>
  <x:si>
    <x:t xml:space="preserve">예시 상품 3</x:t>
  </x:si>
  <x:si>
    <x:t xml:space="preserve">예시 상품 4</x:t>
  </x:si>
  <x:si>
    <x:t xml:space="preserve">예시 상품 5</x:t>
  </x:si>
  <x:si>
    <x:t xml:space="preserve">예시 상품 6</x:t>
  </x:si>
  <x:si>
    <x:t xml:space="preserve">예시 상품 7</x:t>
  </x:si>
  <x:si>
    <x:t xml:space="preserve">예시 상품 8</x:t>
  </x:si>
  <x:si>
    <x:t xml:space="preserve">예시 상품 9</x:t>
  </x:si>
  <x:si>
    <x:t xml:space="preserve">예시 상품 10</x:t>
  </x:si>
  <x:si>
    <x:t xml:space="preserve">예시 상품 11</x:t>
  </x:si>
  <x:si>
    <x:t xml:space="preserve">예시 상품 12</x:t>
  </x:si>
  <x:si>
    <x:r>
      <x:rPr>
        <x:sz val="9"/>
        <x:color rgb="FF4A3B00"/>
        <x:rFont val="Noto Sans KR"/>
        <x:family val="2"/>
      </x:rPr>
      <x:t xml:space="preserve">예시</x:t>
    </x:r>
    <x:r>
      <x:rPr>
        <x:sz val="9"/>
        <x:color rgb="FF4A3B00"/>
        <x:rFont val="Arial"/>
        <x:family val="2"/>
      </x:rPr>
      <x:t xml:space="preserve"> </x:t>
    </x:r>
    <x:r>
      <x:rPr>
        <x:sz val="9"/>
        <x:color rgb="FF4A3B00"/>
        <x:rFont val="Noto Sans KR"/>
        <x:family val="2"/>
      </x:rPr>
      <x:t xml:space="preserve">추가상품</x:t>
    </x:r>
    <x:r>
      <x:rPr>
        <x:sz val="9"/>
        <x:color rgb="FF4A3B00"/>
        <x:rFont val="Arial"/>
        <x:family val="2"/>
      </x:rPr>
      <x:t xml:space="preserve"> 13</x:t>
    </x:r>
  </x:si>
  <x:si>
    <x:r>
      <x:rPr>
        <x:sz val="9"/>
        <x:color rgb="FF4A3B00"/>
        <x:rFont val="Noto Sans KR"/>
        <x:family val="2"/>
      </x:rPr>
      <x:t xml:space="preserve">예시</x:t>
    </x:r>
    <x:r>
      <x:rPr>
        <x:sz val="9"/>
        <x:color rgb="FF4A3B00"/>
        <x:rFont val="Arial"/>
        <x:family val="2"/>
      </x:rPr>
      <x:t xml:space="preserve"> </x:t>
    </x:r>
    <x:r>
      <x:rPr>
        <x:sz val="9"/>
        <x:color rgb="FF4A3B00"/>
        <x:rFont val="Noto Sans KR"/>
        <x:family val="2"/>
      </x:rPr>
      <x:t xml:space="preserve">추가상품</x:t>
    </x:r>
    <x:r>
      <x:rPr>
        <x:sz val="9"/>
        <x:color rgb="FF4A3B00"/>
        <x:rFont val="Arial"/>
        <x:family val="2"/>
      </x:rPr>
      <x:t xml:space="preserve"> 14</x:t>
    </x:r>
  </x:si>
  <x:si>
    <x:r>
      <x:rPr>
        <x:sz val="9"/>
        <x:color rgb="FF4A3B00"/>
        <x:rFont val="Noto Sans KR"/>
        <x:family val="2"/>
      </x:rPr>
      <x:t xml:space="preserve">예시</x:t>
    </x:r>
    <x:r>
      <x:rPr>
        <x:sz val="9"/>
        <x:color rgb="FF4A3B00"/>
        <x:rFont val="Arial"/>
        <x:family val="2"/>
      </x:rPr>
      <x:t xml:space="preserve"> </x:t>
    </x:r>
    <x:r>
      <x:rPr>
        <x:sz val="9"/>
        <x:color rgb="FF4A3B00"/>
        <x:rFont val="Noto Sans KR"/>
        <x:family val="2"/>
      </x:rPr>
      <x:t xml:space="preserve">추가상품</x:t>
    </x:r>
    <x:r>
      <x:rPr>
        <x:sz val="9"/>
        <x:color rgb="FF4A3B00"/>
        <x:rFont val="Arial"/>
        <x:family val="2"/>
      </x:rPr>
      <x:t xml:space="preserve"> 15</x:t>
    </x:r>
  </x:si>
  <x:si>
    <x:r>
      <x:rPr>
        <x:sz val="9"/>
        <x:color rgb="FFFF0000"/>
        <x:rFont val="Noto Sans KR"/>
        <x:family val="2"/>
      </x:rPr>
      <x:t xml:space="preserve">안내사항
</x:t>
    </x:r>
    <x:r>
      <x:rPr>
        <x:sz val="9"/>
        <x:color rgb="FF4A3B00"/>
        <x:rFont val="Noto Sans KR"/>
        <x:family val="2"/>
      </x:rPr>
      <x:t xml:space="preserve">
</x:t>
    </x:r>
    <x:r>
      <x:rPr>
        <x:sz val="9"/>
        <x:color rgb="FFFF0000"/>
        <x:rFont val="Arial"/>
        <x:family val="2"/>
      </x:rPr>
      <x:t xml:space="preserve">- </x:t>
    </x:r>
    <x:r>
      <x:rPr>
        <x:sz val="9"/>
        <x:color rgb="FFFF0000"/>
        <x:rFont val="Noto Sans KR"/>
        <x:family val="2"/>
      </x:rPr>
      <x:t xml:space="preserve">입금</x:t>
    </x:r>
    <x:r>
      <x:rPr>
        <x:sz val="9"/>
        <x:color rgb="FFFF0000"/>
        <x:rFont val="Arial"/>
        <x:family val="2"/>
      </x:rPr>
      <x:t xml:space="preserve"> </x:t>
    </x:r>
    <x:r>
      <x:rPr>
        <x:sz val="9"/>
        <x:color rgb="FFFF0000"/>
        <x:rFont val="Noto Sans KR"/>
        <x:family val="2"/>
      </x:rPr>
      <x:t xml:space="preserve">확인</x:t>
    </x:r>
    <x:r>
      <x:rPr>
        <x:sz val="9"/>
        <x:color rgb="FFFF0000"/>
        <x:rFont val="Arial"/>
        <x:family val="2"/>
      </x:rPr>
      <x:t xml:space="preserve"> </x:t>
    </x:r>
    <x:r>
      <x:rPr>
        <x:sz val="9"/>
        <x:color rgb="FFFF0000"/>
        <x:rFont val="Noto Sans KR"/>
        <x:family val="2"/>
      </x:rPr>
      <x:t xml:space="preserve">순서대로</x:t>
    </x:r>
    <x:r>
      <x:rPr>
        <x:sz val="9"/>
        <x:color rgb="FFFF0000"/>
        <x:rFont val="Arial"/>
        <x:family val="2"/>
      </x:rPr>
      <x:t xml:space="preserve"> </x:t>
    </x:r>
    <x:r>
      <x:rPr>
        <x:sz val="9"/>
        <x:color rgb="FFFF0000"/>
        <x:rFont val="Noto Sans KR"/>
        <x:family val="2"/>
      </x:rPr>
      <x:t xml:space="preserve">포장</x:t>
    </x:r>
    <x:r>
      <x:rPr>
        <x:sz val="9"/>
        <x:color rgb="FFFF0000"/>
        <x:rFont val="Arial"/>
        <x:family val="2"/>
      </x:rPr>
      <x:t xml:space="preserve"> </x:t>
    </x:r>
    <x:r>
      <x:rPr>
        <x:sz val="9"/>
        <x:color rgb="FFFF0000"/>
        <x:rFont val="Noto Sans KR"/>
        <x:family val="2"/>
      </x:rPr>
      <x:t xml:space="preserve">후</x:t>
    </x:r>
    <x:r>
      <x:rPr>
        <x:sz val="9"/>
        <x:color rgb="FFFF0000"/>
        <x:rFont val="Arial"/>
        <x:family val="2"/>
      </x:rPr>
      <x:t xml:space="preserve"> </x:t>
    </x:r>
    <x:r>
      <x:rPr>
        <x:sz val="9"/>
        <x:color rgb="FFFF0000"/>
        <x:rFont val="Noto Sans KR"/>
        <x:family val="2"/>
      </x:rPr>
      <x:t xml:space="preserve">출고됩니다</x:t>
    </x:r>
    <x:r>
      <x:rPr>
        <x:sz val="9"/>
        <x:color rgb="FFFF0000"/>
        <x:rFont val="Arial"/>
        <x:family val="2"/>
      </x:rPr>
      <x:t xml:space="preserve">.
- </x:t>
    </x:r>
    <x:r>
      <x:rPr>
        <x:sz val="9"/>
        <x:color rgb="FFFF0000"/>
        <x:rFont val="Noto Sans KR"/>
        <x:family val="2"/>
      </x:rPr>
      <x:t xml:space="preserve">킵 상품은 킵 기간 만료 후 자동 출고됩니다.</x:t>
    </x:r>
  </x:si>
  <x:si>
    <x:t xml:space="preserve">정산번호</x:t>
  </x:si>
  <x:si>
    <x:t xml:space="preserve">LIVE-20260619-001</x:t>
  </x:si>
  <x:si>
    <x:t xml:space="preserve">예시 추가상품 16</x:t>
  </x:si>
  <x:si>
    <x:t xml:space="preserve">예시 추가상품 17</x:t>
  </x:si>
  <x:si>
    <x:t xml:space="preserve">예시 추가상품 18</x:t>
  </x:si>
  <x:si>
    <x:t xml:space="preserve">예시 추가상품 19</x:t>
  </x:si>
  <x:si>
    <x:t xml:space="preserve">예시 추가상품 20</x:t>
  </x:si>
  <x:si>
    <x:t xml:space="preserve">최종 결제금액</x:t>
  </x:si>
  <x:si>
    <x:t xml:space="preserve">상품합계</x:t>
  </x:si>
  <x:si>
    <x:t xml:space="preserve">총 결제금액</x:t>
  </x:si>
  <x:si>
    <x:t xml:space="preserve">본 정산서는 여깁니다유 라이브 구매 확인용으로만 제공되며, 무단 공유 및 외부 유출을 금합니다.</x:t>
  </x:si>
  <x:si>
    <x:t xml:space="preserve">여깁니다유 라방관리 페이지 예시</x:t>
  </x:si>
  <x:si>
    <x:t xml:space="preserve">라방제목</x:t>
  </x:si>
  <x:si>
    <x:t xml:space="preserve">기본배송비</x:t>
  </x:si>
  <x:si>
    <x:t xml:space="preserve">카드수수료율</x:t>
  </x:si>
  <x:si>
    <x:t xml:space="preserve">안내사항</x:t>
  </x:si>
  <x:si>
    <x:t xml:space="preserve">6월 19일 금요라방</x:t>
  </x:si>
  <x:si>
    <x:t xml:space="preserve">3%</x:t>
  </x:si>
  <x:si>
    <x:t xml:space="preserve">입금 확인 순서대로 포장 후 출고됩니다.</x:t>
  </x:si>
  <x:si>
    <x:t xml:space="preserve">정산서</x:t>
  </x:si>
  <x:si>
    <x:t xml:space="preserve">정산상태</x:t>
  </x:si>
  <x:si>
    <x:t xml:space="preserve">구매자</x:t>
  </x:si>
  <x:si>
    <x:t xml:space="preserve">카드결제</x:t>
  </x:si>
  <x:si>
    <x:t xml:space="preserve">송장번호</x:t>
  </x:si>
  <x:si>
    <x:t xml:space="preserve">메모</x:t>
  </x:si>
  <x:si>
    <x:t xml:space="preserve">킵 시작일</x:t>
  </x:si>
  <x:si>
    <x:t xml:space="preserve">킵 만료일</x:t>
  </x:si>
  <x:si>
    <x:t xml:space="preserve">킵 D-Day</x:t>
  </x:si>
  <x:si>
    <x:t xml:space="preserve">LIVE-001</x:t>
  </x:si>
  <x:si>
    <x:t xml:space="preserve">미입금</x:t>
  </x:si>
  <x:si>
    <x:t xml:space="preserve">첫 구매 / 포인트 1,000</x:t>
  </x:si>
  <x:si>
    <x:t xml:space="preserve">LIVE-002</x:t>
  </x:si>
  <x:si>
    <x:t xml:space="preserve">입금완료</x:t>
  </x:si>
  <x:si>
    <x:t xml:space="preserve">김미피</x:t>
  </x:si>
  <x:si>
    <x:t xml:space="preserve">010-2222-3333</x:t>
  </x:si>
  <x:si>
    <x:t xml:space="preserve">합배송 요청</x:t>
  </x:si>
  <x:si>
    <x:t xml:space="preserve">LIVE-003</x:t>
  </x:si>
  <x:si>
    <x:t xml:space="preserve">박치이</x:t>
  </x:si>
  <x:si>
    <x:t xml:space="preserve">010-4444-5555</x:t>
  </x:si>
  <x:si>
    <x:t xml:space="preserve">다음 라방까지 킵</x:t>
  </x:si>
  <x:si>
    <x:t xml:space="preserve">라방용 상품 목록 예시</x:t>
  </x:si>
  <x:si>
    <x:t xml:space="preserve">상품ID</x:t>
  </x:si>
  <x:si>
    <x:t xml:space="preserve">캐릭터</x:t>
  </x:si>
  <x:si>
    <x:t xml:space="preserve">실재고</x:t>
  </x:si>
  <x:si>
    <x:t xml:space="preserve">라방배정</x:t>
  </x:si>
  <x:si>
    <x:t xml:space="preserve">라방판매</x:t>
  </x:si>
  <x:si>
    <x:t xml:space="preserve">남은라방재고</x:t>
  </x:si>
  <x:si>
    <x:t xml:space="preserve">정가</x:t>
  </x:si>
  <x:si>
    <x:t xml:space="preserve">할인율</x:t>
  </x:si>
  <x:si>
    <x:t xml:space="preserve">라방가</x:t>
  </x:si>
  <x:si>
    <x:t xml:space="preserve">실재고차감</x:t>
  </x:si>
  <x:si>
    <x:t xml:space="preserve">치이카와 키링</x:t>
  </x:si>
  <x:si>
    <x:t xml:space="preserve">치이카와</x:t>
  </x:si>
  <x:si>
    <x:t xml:space="preserve">하치와레 메모지</x:t>
  </x:si>
  <x:si>
    <x:t xml:space="preserve">하치와레</x:t>
  </x:si>
  <x:si>
    <x:t xml:space="preserve">미피 파우치</x:t>
  </x:si>
  <x:si>
    <x:t xml:space="preserve">미피</x:t>
  </x:si>
  <x:si>
    <x:t xml:space="preserve">라방 회원관리 예시</x:t>
  </x:si>
  <x:si>
    <x:t xml:space="preserve">회원명</x:t>
  </x:si>
  <x:si>
    <x:t xml:space="preserve">포인트</x:t>
  </x:si>
  <x:si>
    <x:t xml:space="preserve">최근사용포인트</x:t>
  </x:si>
  <x:si>
    <x:t xml:space="preserve">회원메모</x:t>
  </x:si>
  <x:si>
    <x:t xml:space="preserve">킵 기간(일)</x:t>
  </x:si>
  <x:si>
    <x:t xml:space="preserve">강원도 홍천군 예시로 123</x:t>
  </x:si>
  <x:si>
    <x:t xml:space="preserve">단골 / 포차코 좋아함</x:t>
  </x:si>
  <x:si>
    <x:t xml:space="preserve">서울시 강남구 예시동</x:t>
  </x:si>
  <x:si>
    <x:t xml:space="preserve">미피 위주, 문구류 선호</x:t>
  </x:si>
  <x:si>
    <x:t xml:space="preserve">기본설정</x:t>
  </x:si>
  <x:si>
    <x:t xml:space="preserve">항목</x:t>
  </x:si>
  <x:si>
    <x:t xml:space="preserve">기본값</x:t>
  </x:si>
  <x:si>
    <x:t xml:space="preserve">설명</x:t>
  </x:si>
  <x:si>
    <x:t xml:space="preserve">사이트 저장 여부</x:t>
  </x:si>
  <x:si>
    <x:t xml:space="preserve">상호명</x:t>
  </x:si>
  <x:si>
    <x:t xml:space="preserve">여깁니다유</x:t>
  </x:si>
  <x:si>
    <x:t xml:space="preserve">정산서 제목/입금안내에 표시</x:t>
  </x:si>
  <x:si>
    <x:t xml:space="preserve">은행명</x:t>
  </x:si>
  <x:si>
    <x:t xml:space="preserve">농협</x:t>
  </x:si>
  <x:si>
    <x:t xml:space="preserve">입금계좌 은행명</x:t>
  </x:si>
  <x:si>
    <x:t xml:space="preserve">계좌번호</x:t>
  </x:si>
  <x:si>
    <x:t xml:space="preserve">000-0000-0000</x:t>
  </x:si>
  <x:si>
    <x:t xml:space="preserve">계좌이체 시 표시</x:t>
  </x:si>
  <x:si>
    <x:t xml:space="preserve">예금주</x:t>
  </x:si>
  <x:si>
    <x:t xml:space="preserve">입금계좌 예금주</x:t>
  </x:si>
  <x:si>
    <x:t xml:space="preserve">기본 배송비</x:t>
  </x:si>
  <x:si>
    <x:t xml:space="preserve">배송비 기본값</x:t>
  </x:si>
  <x:si>
    <x:t xml:space="preserve">카드 수수료율</x:t>
  </x:si>
  <x:si>
    <x:t xml:space="preserve">카드결제 체크 시 추가</x:t>
  </x:si>
  <x:si>
    <x:t xml:space="preserve">기본 입금기한</x:t>
  </x:si>
  <x:si>
    <x:t xml:space="preserve">정산서에 표시</x:t>
  </x:si>
  <x:si>
    <x:t xml:space="preserve">킵 기본기간(일)</x:t>
  </x:si>
  <x:si>
    <x:t xml:space="preserve">킵 시작일 기준 D-Day 계산</x:t>
  </x:si>
  <x:si>
    <x:t xml:space="preserve">입금 확인 순서대로 포장 후 출고됩니다.
입금기한 이후 미입금 시 주문이 취소될 수 있습니다.
본 정산서는 외부 공유를 금합니다.</x:t>
  </x:si>
  <x:si>
    <x:t xml:space="preserve">라방페이지에서 수정 가능</x:t>
  </x:si>
</x:sst>
</file>

<file path=xl/styles.xml><?xml version="1.0" encoding="utf-8"?>
<x:styleSheet xmlns:x="http://schemas.openxmlformats.org/spreadsheetml/2006/main">
  <x:numFmts count="9">
    <x:numFmt numFmtId="42" formatCode="_-&quot;₩&quot;* #,##0_-;\-&quot;₩&quot;* #,##0_-;_-&quot;₩&quot;* &quot;-&quot;_-;_-@_-"/>
    <x:numFmt numFmtId="41" formatCode="_-* #,##0_-;\-* #,##0_-;_-* &quot;-&quot;_-;_-@_-"/>
    <x:numFmt numFmtId="176" formatCode="#,##0&quot;원&quot;"/>
    <x:numFmt numFmtId="177" formatCode="yyyy\-mm\-dd"/>
    <x:numFmt numFmtId="178" formatCode="0&quot;일&quot;"/>
    <x:numFmt numFmtId="179" formatCode="#,##0&quot;점&quot;"/>
    <x:numFmt numFmtId="186" formatCode="&quot;₩&quot;#,##0_);[Red]\(&quot;₩&quot;#,##0\)"/>
    <x:numFmt numFmtId="187" formatCode="0_);[Red]\(0\)"/>
    <x:numFmt numFmtId="200" formatCode="#,##0&quot;원&quot;;-#,##0&quot;원&quot;;0&quot;원&quot;"/>
  </x:numFmts>
  <x:fonts count="20">
    <x:font>
      <x:sz val="11"/>
      <x:name val="Carlito"/>
    </x:font>
    <x:font>
      <x:sz val="10"/>
      <x:color rgb="FF4A3B00"/>
      <x:name val="Carlito"/>
    </x:font>
    <x:font>
      <x:b/>
      <x:sz val="9"/>
      <x:color rgb="FF4A3B00"/>
      <x:name val="Carlito"/>
    </x:font>
    <x:font>
      <x:b/>
      <x:sz val="18"/>
      <x:color rgb="FF4A3B00"/>
      <x:name val="Carlito"/>
    </x:font>
    <x:font>
      <x:b/>
      <x:sz val="10"/>
      <x:color rgb="FF4A3B00"/>
      <x:name val="Carlito"/>
    </x:font>
    <x:font>
      <x:sz val="10"/>
      <x:color rgb="FF4A3B00"/>
      <x:name val="Carlito"/>
    </x:font>
    <x:font>
      <x:sz val="9"/>
      <x:color rgb="FF4A3B00"/>
      <x:name val="Carlito"/>
    </x:font>
    <x:font>
      <x:b/>
      <x:sz val="15"/>
      <x:color rgb="FF4A3B00"/>
      <x:name val="Carlito"/>
    </x:font>
    <x:font>
      <x:b/>
      <x:sz val="13"/>
      <x:color rgb="FF4A3B00"/>
      <x:name val="Carlito"/>
    </x:font>
    <x:font>
      <x:b/>
      <x:sz val="12"/>
      <x:color rgb="FF4A3B00"/>
      <x:name val="Carlito"/>
    </x:font>
    <x:font>
      <x:sz val="11"/>
      <x:name val="Carlito"/>
    </x:font>
    <x:font>
      <x:sz val="8"/>
      <x:name val="돋움체"/>
    </x:font>
    <x:font>
      <x:b/>
      <x:sz val="18"/>
      <x:color rgb="FF4A3B00"/>
      <x:name val="Noto Serif KR Black"/>
    </x:font>
    <x:font>
      <x:b/>
      <x:sz val="10"/>
      <x:color rgb="FF4A3B00"/>
      <x:name val="Noto Sans KR"/>
    </x:font>
    <x:font>
      <x:sz val="9"/>
      <x:color rgb="FF4A3B00"/>
      <x:name val="Noto Sans KR"/>
    </x:font>
    <x:font>
      <x:sz val="9"/>
      <x:color rgb="FF4A3B00"/>
      <x:name val="Arial"/>
    </x:font>
    <x:font>
      <x:sz val="9"/>
      <x:color rgb="FF4A3B00"/>
      <x:name val="Carlito"/>
    </x:font>
    <x:font>
      <x:sz val="10"/>
      <x:color rgb="FF4A3B00"/>
      <x:name val="Noto Sans KR"/>
    </x:font>
    <x:font>
      <x:sz val="9"/>
      <x:color rgb="FFFF0000"/>
      <x:name val="Noto Sans KR"/>
    </x:font>
    <x:font>
      <x:sz val="9"/>
      <x:color rgb="FFFF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9E6"/>
      </x:patternFill>
    </x:fill>
    <x:fill>
      <x:patternFill patternType="solid">
        <x:fgColor rgb="FFFFF2B3"/>
      </x:patternFill>
    </x:fill>
    <x:fill>
      <x:patternFill patternType="solid">
        <x:fgColor rgb="FFFFFFFF"/>
      </x:patternFill>
    </x:fill>
    <x:fill>
      <x:patternFill patternType="solid">
        <x:fgColor rgb="FFFFD84D"/>
      </x:patternFill>
    </x:fill>
    <x:fill>
      <x:patternFill patternType="solid">
        <x:fgColor rgb="FFFFF7CC"/>
      </x:patternFill>
    </x:fill>
    <x:fill>
      <x:patternFill patternType="solid">
        <x:fgColor rgb="FFFFE38A"/>
      </x:patternFill>
    </x:fill>
  </x:fills>
  <x:borders count="3">
    <x:border/>
    <x:border/>
    <x:border/>
  </x:borders>
  <x:cellStyleXfs count="4">
    <x:xf numFmtId="0" fontId="0" fillId="0" borderId="0"/>
    <x:xf numFmtId="0" fontId="10" fillId="0" borderId="0"/>
    <x:xf numFmtId="41" fontId="10" fillId="0" borderId="0" applyFont="0" applyFill="0" applyBorder="0" applyAlignment="0" applyProtection="0">
      <x:alignment vertical="center"/>
    </x:xf>
    <x:xf numFmtId="42" fontId="10" fillId="0" borderId="0" applyFont="0" applyFill="0" applyBorder="0" applyAlignment="0" applyProtection="0">
      <x:alignment vertical="center"/>
    </x:xf>
  </x:cellStyleXfs>
  <x:cellXfs count="91">
    <x:xf numFmtId="0" fontId="0" fillId="0" borderId="0" xfId="0"/>
    <x:xf numFmtId="0" fontId="1" fillId="2" borderId="0" xfId="1" applyFont="1" applyFill="1"/>
    <x:xf numFmtId="0" fontId="4" fillId="3" borderId="0" xfId="1" applyFont="1" applyFill="1" applyAlignment="1">
      <x:alignment horizontal="center" vertical="center" wrapText="1"/>
    </x:xf>
    <x:xf numFmtId="0" fontId="5" fillId="4" borderId="0" xfId="1" applyFont="1" applyFill="1" applyAlignment="1">
      <x:alignment horizontal="left" vertical="center" wrapText="1"/>
    </x:xf>
    <x:xf numFmtId="0" fontId="5" fillId="3" borderId="0" xfId="1" applyFont="1" applyFill="1" applyAlignment="1">
      <x:alignment horizontal="center" vertical="center" wrapText="1"/>
    </x:xf>
    <x:xf numFmtId="0" fontId="5" fillId="4" borderId="0" xfId="1" applyFont="1" applyFill="1" applyAlignment="1">
      <x:alignment horizontal="center" vertical="center" wrapText="1"/>
    </x:xf>
    <x:xf numFmtId="0" fontId="4" fillId="5" borderId="0" xfId="1" applyFont="1" applyFill="1" applyAlignment="1">
      <x:alignment horizontal="center" vertical="center" wrapText="1"/>
    </x:xf>
    <x:xf numFmtId="0" fontId="6" fillId="4" borderId="0" xfId="1" applyFont="1" applyFill="1" applyAlignment="1">
      <x:alignment horizontal="center" vertical="center" wrapText="1"/>
    </x:xf>
    <x:xf numFmtId="0" fontId="6" fillId="4" borderId="0" xfId="1" applyFont="1" applyFill="1" applyAlignment="1">
      <x:alignment horizontal="left" vertical="center" wrapText="1"/>
    </x:xf>
    <x:xf numFmtId="176" fontId="6" fillId="4" borderId="0" xfId="1" applyNumberFormat="1" applyFont="1" applyFill="1" applyAlignment="1">
      <x:alignment horizontal="center" vertical="center" wrapText="1"/>
    </x:xf>
    <x:xf numFmtId="9" fontId="6" fillId="4" borderId="0" xfId="1" applyNumberFormat="1" applyFont="1" applyFill="1" applyAlignment="1">
      <x:alignment horizontal="center" vertical="center" wrapText="1"/>
    </x:xf>
    <x:xf numFmtId="0" fontId="9" fillId="7" borderId="0" xfId="1" applyFont="1" applyFill="1" applyAlignment="1">
      <x:alignment horizontal="right" vertical="center" wrapText="1"/>
    </x:xf>
    <x:xf numFmtId="176" fontId="5" fillId="4" borderId="0" xfId="1" applyNumberFormat="1" applyFont="1" applyFill="1" applyAlignment="1">
      <x:alignment horizontal="left" vertical="center" wrapText="1"/>
    </x:xf>
    <x:xf numFmtId="177" fontId="6" fillId="4" borderId="0" xfId="1" applyNumberFormat="1" applyFont="1" applyFill="1" applyAlignment="1">
      <x:alignment horizontal="center" vertical="center" wrapText="1"/>
    </x:xf>
    <x:xf numFmtId="178" fontId="6" fillId="4" borderId="0" xfId="1" applyNumberFormat="1" applyFont="1" applyFill="1" applyAlignment="1">
      <x:alignment horizontal="center" vertical="center" wrapText="1"/>
    </x:xf>
    <x:xf numFmtId="179" fontId="6" fillId="4" borderId="0" xfId="1" applyNumberFormat="1" applyFont="1" applyFill="1" applyAlignment="1">
      <x:alignment horizontal="center" vertical="center" wrapText="1"/>
    </x:xf>
    <x:xf numFmtId="176" fontId="6" fillId="4" borderId="0" xfId="1" applyNumberFormat="1" applyFont="1" applyFill="1" applyAlignment="1">
      <x:alignment horizontal="left" vertical="center" wrapText="1"/>
    </x:xf>
    <x:xf numFmtId="9" fontId="6" fillId="4" borderId="0" xfId="1" applyNumberFormat="1" applyFont="1" applyFill="1" applyAlignment="1">
      <x:alignment horizontal="left" vertical="center" wrapText="1"/>
    </x:xf>
    <x:xf numFmtId="0" fontId="3" fillId="2" borderId="0" xfId="1" applyFont="1" applyFill="1" applyAlignment="1">
      <x:alignment horizontal="center" vertical="center" wrapText="1"/>
    </x:xf>
    <x:xf numFmtId="0" fontId="5" fillId="4" borderId="0" xfId="1" applyFont="1" applyFill="1" applyAlignment="1">
      <x:alignment horizontal="center" vertical="center" wrapText="1"/>
    </x:xf>
    <x:xf numFmtId="0" fontId="2" fillId="2" borderId="0" xfId="1" applyFont="1" applyFill="1" applyAlignment="1">
      <x:alignment horizontal="center" vertical="center" wrapText="1"/>
    </x:xf>
    <x:xf numFmtId="0" fontId="8" fillId="5" borderId="0" xfId="1" applyFont="1" applyFill="1" applyAlignment="1">
      <x:alignment horizontal="center" vertical="center" wrapText="1"/>
    </x:xf>
    <x:xf numFmtId="0" fontId="6" fillId="2" borderId="0" xfId="1" applyFont="1" applyFill="1" applyAlignment="1">
      <x:alignment horizontal="center" vertical="center" wrapText="1"/>
    </x:xf>
    <x:xf numFmtId="0" fontId="7" fillId="5" borderId="0" xfId="1" applyFont="1" applyFill="1" applyAlignment="1">
      <x:alignment horizontal="center" vertical="center" wrapText="1"/>
    </x:xf>
    <x:xf numFmtId="0" fontId="2" fillId="2" borderId="0" xfId="1" applyFont="1" applyFill="1" applyAlignment="1">
      <x:alignment vertical="center" wrapText="1"/>
    </x:xf>
    <x:xf numFmtId="0" fontId="1" fillId="2" borderId="0" xfId="1" applyFont="1" applyFill="1" applyAlignment="1"/>
    <x:xf numFmtId="0" fontId="12" fillId="2" borderId="0" xfId="1" applyFont="1" applyFill="1" applyAlignment="1">
      <x:alignment horizontal="center" vertical="center" wrapText="1"/>
    </x:xf>
    <x:xf numFmtId="0" fontId="1" fillId="2" borderId="0" xfId="1" applyFont="1" applyFill="1" applyAlignment="1">
      <x:alignment horizontal="center"/>
    </x:xf>
    <x:xf numFmtId="0" fontId="13" fillId="5" borderId="0" xfId="1" applyFont="1" applyFill="1" applyAlignment="1">
      <x:alignment horizontal="center" vertical="center" wrapText="1"/>
    </x:xf>
    <x:xf numFmtId="0" fontId="7" fillId="2" borderId="1" xfId="1" applyFont="1" applyFill="1" applyBorder="1" applyAlignment="1">
      <x:alignment horizontal="center" vertical="center" wrapText="1"/>
    </x:xf>
    <x:xf numFmtId="42" fontId="5" fillId="3" borderId="0" xfId="3" applyFont="1" applyFill="1" applyAlignment="1">
      <x:alignment horizontal="center" vertical="center" wrapText="1"/>
    </x:xf>
    <x:xf numFmtId="42" fontId="5" fillId="4" borderId="0" xfId="3" applyFont="1" applyFill="1" applyAlignment="1">
      <x:alignment horizontal="center" vertical="center" wrapText="1"/>
    </x:xf>
    <x:xf numFmtId="42" fontId="5" fillId="4" borderId="0" xfId="3" applyFont="1" applyFill="1" applyAlignment="1">
      <x:alignment horizontal="center" vertical="center" wrapText="1"/>
    </x:xf>
    <x:xf numFmtId="42" fontId="5" fillId="2" borderId="0" xfId="3" applyFont="1" applyFill="1" applyAlignment="1">
      <x:alignment horizontal="center" vertical="center" wrapText="1"/>
    </x:xf>
    <x:xf numFmtId="42" fontId="5" fillId="4" borderId="0" xfId="3" applyFont="1" applyFill="1" applyAlignment="1">
      <x:alignment vertical="center" wrapText="1"/>
    </x:xf>
    <x:xf numFmtId="0" fontId="4" fillId="5" borderId="0" xfId="1" applyFont="1" applyFill="1" applyAlignment="1">
      <x:alignment horizontal="center" vertical="center" wrapText="1"/>
    </x:xf>
    <x:xf numFmtId="0" fontId="6" fillId="4" borderId="0" xfId="1" applyFont="1" applyFill="1" applyAlignment="1">
      <x:alignment horizontal="center" vertical="center" wrapText="1"/>
    </x:xf>
    <x:xf numFmtId="0" fontId="16" fillId="4" borderId="0" xfId="1" applyFont="1" applyFill="1" applyAlignment="1">
      <x:alignment horizontal="center" vertical="center" wrapText="1"/>
    </x:xf>
    <x:xf numFmtId="42" fontId="17" fillId="3" borderId="0" xfId="3" applyFont="1" applyFill="1" applyAlignment="1">
      <x:alignment horizontal="center" vertical="center" wrapText="1"/>
    </x:xf>
    <x:xf numFmtId="42" fontId="17" fillId="4" borderId="0" xfId="3" applyFont="1" applyFill="1" applyAlignment="1">
      <x:alignment horizontal="center" vertical="center" wrapText="1"/>
    </x:xf>
    <x:xf numFmtId="0" fontId="13" fillId="5" borderId="0" xfId="1" applyFont="1" applyFill="1" applyAlignment="1">
      <x:alignment horizontal="center" vertical="center" wrapText="1"/>
    </x:xf>
    <x:xf numFmtId="0" fontId="16" fillId="6" borderId="0" xfId="1" applyFont="1" applyFill="1" applyAlignment="1">
      <x:alignment horizontal="center" vertical="top" wrapText="1"/>
    </x:xf>
    <x:xf numFmtId="9" fontId="14" fillId="4" borderId="0" xfId="1" applyNumberFormat="1" applyFont="1" applyFill="1" applyAlignment="1">
      <x:alignment horizontal="center" vertical="center" wrapText="1"/>
    </x:xf>
    <x:xf numFmtId="186" fontId="6" fillId="4" borderId="0" xfId="1" applyNumberFormat="1" applyFont="1" applyFill="1" applyAlignment="1">
      <x:alignment horizontal="center" vertical="center" wrapText="1"/>
    </x:xf>
    <x:xf numFmtId="187" fontId="5" fillId="4" borderId="0" xfId="2" applyNumberFormat="1" applyFont="1" applyFill="1" applyAlignment="1">
      <x:alignment horizontal="center" vertical="center" wrapText="1"/>
    </x:xf>
    <x:xf numFmtId="176" fontId="5" fillId="4" borderId="0" xfId="1" applyNumberFormat="1" applyFont="1" applyFill="1" applyAlignment="1">
      <x:alignment horizontal="center" vertical="center" wrapText="1"/>
    </x:xf>
    <x:xf numFmtId="176" fontId="9" fillId="7" borderId="0" xfId="1" applyNumberFormat="1" applyFont="1" applyFill="1" applyAlignment="1">
      <x:alignment horizontal="center" vertical="center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/>
    <x:xf numFmtId="0" fontId="4" fillId="3" borderId="2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left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left" vertical="center" wrapText="1"/>
    </x:xf>
    <x:xf numFmtId="176" fontId="6" fillId="4" borderId="2" xfId="0" applyNumberFormat="1" applyFont="1" applyFill="1" applyBorder="1" applyAlignment="1">
      <x:alignment horizontal="center" vertical="center" wrapText="1"/>
    </x:xf>
    <x:xf numFmtId="9" fontId="6" fillId="4" borderId="2" xfId="0" applyNumberFormat="1" applyFont="1" applyFill="1" applyBorder="1" applyAlignment="1">
      <x:alignment horizontal="center" vertical="center" wrapText="1"/>
    </x:xf>
    <x:xf numFmtId="0" fontId="9" fillId="7" borderId="2" xfId="0" applyNumberFormat="1" applyFont="1" applyFill="1" applyBorder="1" applyAlignment="1">
      <x:alignment horizontal="right" vertical="center" wrapText="1"/>
    </x:xf>
    <x:xf numFmtId="176" fontId="1" fillId="4" borderId="2" xfId="0" applyNumberFormat="1" applyFont="1" applyFill="1" applyBorder="1" applyAlignment="1">
      <x:alignment horizontal="left" vertical="center" wrapText="1"/>
    </x:xf>
    <x:xf numFmtId="177" fontId="6" fillId="4" borderId="2" xfId="0" applyNumberFormat="1" applyFont="1" applyFill="1" applyBorder="1" applyAlignment="1">
      <x:alignment horizontal="center" vertical="center" wrapText="1"/>
    </x:xf>
    <x:xf numFmtId="178" fontId="6" fillId="4" borderId="2" xfId="0" applyNumberFormat="1" applyFont="1" applyFill="1" applyBorder="1" applyAlignment="1">
      <x:alignment horizontal="center" vertical="center" wrapText="1"/>
    </x:xf>
    <x:xf numFmtId="179" fontId="6" fillId="4" borderId="2" xfId="0" applyNumberFormat="1" applyFont="1" applyFill="1" applyBorder="1" applyAlignment="1">
      <x:alignment horizontal="center" vertical="center" wrapText="1"/>
    </x:xf>
    <x:xf numFmtId="176" fontId="6" fillId="4" borderId="2" xfId="0" applyNumberFormat="1" applyFont="1" applyFill="1" applyBorder="1" applyAlignment="1">
      <x:alignment horizontal="left" vertical="center" wrapText="1"/>
    </x:xf>
    <x:xf numFmtId="9" fontId="6" fillId="4" borderId="2" xfId="0" applyNumberFormat="1" applyFont="1" applyFill="1" applyBorder="1" applyAlignment="1">
      <x:alignment horizontal="left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12" fillId="2" borderId="2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/>
    </x:xf>
    <x:xf numFmtId="0" fontId="13" fillId="5" borderId="2" xfId="0" applyNumberFormat="1" applyFont="1" applyFill="1" applyBorder="1" applyAlignment="1">
      <x:alignment horizontal="center" vertic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42" fontId="1" fillId="3" borderId="2" xfId="0" applyNumberFormat="1" applyFont="1" applyFill="1" applyBorder="1" applyAlignment="1">
      <x:alignment horizontal="center" vertical="center" wrapText="1"/>
    </x:xf>
    <x:xf numFmtId="42" fontId="1" fillId="4" borderId="2" xfId="0" applyNumberFormat="1" applyFont="1" applyFill="1" applyBorder="1" applyAlignment="1">
      <x:alignment horizontal="center" vertical="center" wrapText="1"/>
    </x:xf>
    <x:xf numFmtId="42" fontId="1" fillId="2" borderId="2" xfId="0" applyNumberFormat="1" applyFont="1" applyFill="1" applyBorder="1" applyAlignment="1">
      <x:alignment horizontal="center" vertical="center" wrapText="1"/>
    </x:xf>
    <x:xf numFmtId="42" fontId="1" fillId="4" borderId="2" xfId="0" applyNumberFormat="1" applyFont="1" applyFill="1" applyBorder="1" applyAlignment="1">
      <x:alignment vertical="center" wrapText="1"/>
    </x:xf>
    <x:xf numFmtId="42" fontId="17" fillId="3" borderId="2" xfId="0" applyNumberFormat="1" applyFont="1" applyFill="1" applyBorder="1" applyAlignment="1">
      <x:alignment horizontal="center" vertical="center" wrapText="1"/>
    </x:xf>
    <x:xf numFmtId="42" fontId="17" fillId="4" borderId="2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horizontal="center" vertical="top" wrapText="1"/>
    </x:xf>
    <x:xf numFmtId="9" fontId="14" fillId="4" borderId="2" xfId="0" applyNumberFormat="1" applyFont="1" applyFill="1" applyBorder="1" applyAlignment="1">
      <x:alignment horizontal="center" vertical="center" wrapText="1"/>
    </x:xf>
    <x:xf numFmtId="186" fontId="6" fillId="4" borderId="2" xfId="0" applyNumberFormat="1" applyFont="1" applyFill="1" applyBorder="1" applyAlignment="1">
      <x:alignment horizontal="center" vertical="center" wrapText="1"/>
    </x:xf>
    <x:xf numFmtId="187" fontId="1" fillId="4" borderId="2" xfId="0" applyNumberFormat="1" applyFont="1" applyFill="1" applyBorder="1" applyAlignment="1">
      <x:alignment horizontal="center" vertical="center" wrapText="1"/>
    </x:xf>
    <x:xf numFmtId="176" fontId="1" fillId="4" borderId="2" xfId="0" applyNumberFormat="1" applyFont="1" applyFill="1" applyBorder="1" applyAlignment="1">
      <x:alignment horizontal="center" vertical="center" wrapText="1"/>
    </x:xf>
    <x:xf numFmtId="176" fontId="9" fillId="7" borderId="2" xfId="0" applyNumberFormat="1" applyFont="1" applyFill="1" applyBorder="1" applyAlignment="1">
      <x:alignment horizontal="center" vertical="center" wrapText="1"/>
    </x:xf>
    <x:xf numFmtId="200" fontId="6" fillId="4" borderId="0" xfId="0" applyNumberFormat="1" applyFont="1" applyFill="1" applyBorder="1" applyAlignment="1">
      <x:alignment horizontal="center" vertical="center" wrapText="1"/>
    </x:xf>
    <x:xf numFmtId="200" fontId="6" fillId="4" borderId="2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0" fontId="9" fillId="7" borderId="0" xfId="0" applyNumberFormat="1" applyFont="1" applyFill="1" applyBorder="1" applyAlignment="1">
      <x:alignment horizontal="center" vertical="center" wrapText="1"/>
    </x:xf>
  </x:cellXfs>
  <x:cellStyles count="4">
    <x:cellStyle name="Normal" xfId="1"/>
    <x:cellStyle name="쉼표 [0]" xfId="2"/>
    <x:cellStyle name="통화 [0]" xfId="3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7fc0192bd64917" /><Relationship Type="http://schemas.openxmlformats.org/officeDocument/2006/relationships/theme" Target="/xl/theme/theme1.xml" Id="R8890bdbc26c645da" /><Relationship Type="http://schemas.openxmlformats.org/officeDocument/2006/relationships/sharedStrings" Target="/xl/sharedStrings.xml" Id="R83e13b4ea8444c87" /><Relationship Type="http://schemas.openxmlformats.org/officeDocument/2006/relationships/worksheet" Target="/xl/worksheets/sheet1.xml" Id="R409ee3e2ca8f459c" /><Relationship Type="http://schemas.openxmlformats.org/officeDocument/2006/relationships/worksheet" Target="/xl/worksheets/sheet2.xml" Id="Re927a43612644164" /><Relationship Type="http://schemas.openxmlformats.org/officeDocument/2006/relationships/worksheet" Target="/xl/worksheets/sheet3.xml" Id="R17d08e0ae50d401d" /><Relationship Type="http://schemas.openxmlformats.org/officeDocument/2006/relationships/worksheet" Target="/xl/worksheets/sheet4.xml" Id="R8c13216f0d8f40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b4ba0b8a1c5d4e07" /></Relationships>
</file>

<file path=xl/drawings/drawing1.xml><?xml version="1.0" encoding="utf-8"?>
<xdr:wsDr xmlns:xdr="http://schemas.openxmlformats.org/drawingml/2006/spreadsheetDrawing">
  <xdr:oneCellAnchor>
    <xdr:from>
      <xdr:col>2</xdr:col>
      <xdr:colOff>447675</xdr:colOff>
      <xdr:row>15</xdr:row>
      <xdr:rowOff>276225</xdr:rowOff>
    </xdr:from>
    <xdr:ext cx="4953000" cy="1238250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ba0b8a1c5d4e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400050</xdr:colOff>
      <xdr:row>43</xdr:row>
      <xdr:rowOff>76200</xdr:rowOff>
    </xdr:from>
    <xdr:ext cx="4953000" cy="1238250"/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ba0b8a1c5d4e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a2e5af4ca634681" /></Relationships>
</file>

<file path=xl/worksheets/sheet1.xml><?xml version="1.0" encoding="utf-8"?>
<x:worksheet xmlns:x="http://schemas.openxmlformats.org/spreadsheetml/2006/main">
  <x:sheetFormatPr defaultRowHeight="14.25"/>
  <x:cols>
    <x:col min="1" max="1" width="8.25" customWidth="1"/>
    <x:col min="2" max="2" width="18" customWidth="1"/>
    <x:col min="3" max="3" width="15.75" customWidth="1"/>
    <x:col min="4" max="4" width="18.75" customWidth="1"/>
    <x:col min="5" max="5" width="12" customWidth="1"/>
    <x:col min="6" max="6" width="22.625" customWidth="1"/>
    <x:col min="7" max="8" width="14" customWidth="1"/>
  </x:cols>
  <x:sheetData>
    <x:row r="1" ht="14.25" customHeight="1">
      <x:c r="A1" s="20" t="s">
        <x:v>0</x:v>
      </x:c>
      <x:c r="B1" s="20"/>
      <x:c r="C1" s="24"/>
      <x:c r="D1" s="24"/>
      <x:c r="E1" s="24"/>
      <x:c r="F1" s="24"/>
      <x:c r="G1" s="24"/>
      <x:c r="H1" s="24"/>
    </x:row>
    <x:row r="2">
      <x:c r="A2" s="25"/>
      <x:c r="B2" s="25"/>
      <x:c r="C2" s="25"/>
      <x:c r="D2" s="25"/>
      <x:c r="E2" s="25"/>
      <x:c r="F2" s="25"/>
      <x:c r="G2" s="25"/>
      <x:c r="H2" s="25"/>
    </x:row>
    <x:row r="3" ht="23.25">
      <x:c r="A3" s="26" t="s">
        <x:v>1</x:v>
      </x:c>
      <x:c r="B3" s="18"/>
      <x:c r="C3" s="18"/>
      <x:c r="D3" s="18"/>
      <x:c r="E3" s="18"/>
      <x:c r="F3" s="18"/>
      <x:c r="G3" s="18"/>
      <x:c r="H3" s="18"/>
    </x:row>
    <x:row r="4">
      <x:c r="A4" s="27"/>
      <x:c r="B4" s="27"/>
      <x:c r="C4" s="27"/>
      <x:c r="D4" s="27"/>
      <x:c r="E4" s="27"/>
      <x:c r="F4" s="27"/>
      <x:c r="G4" s="27"/>
      <x:c r="H4" s="27"/>
    </x:row>
    <x:row r="5" ht="2.25" customHeight="1">
      <x:c r="A5" s="27"/>
      <x:c r="B5" s="27"/>
      <x:c r="C5" s="27"/>
      <x:c r="D5" s="27"/>
      <x:c r="E5" s="27"/>
      <x:c r="F5" s="27"/>
      <x:c r="G5" s="27"/>
      <x:c r="H5" s="27"/>
    </x:row>
    <x:row r="6" hidden="1">
      <x:c r="A6" s="27"/>
      <x:c r="B6" s="27"/>
      <x:c r="C6" s="27"/>
      <x:c r="D6" s="27"/>
      <x:c r="E6" s="27"/>
      <x:c r="F6" s="27"/>
      <x:c r="G6" s="27"/>
      <x:c r="H6" s="27"/>
    </x:row>
    <x:row r="7" ht="27.950000762939453" customHeight="1">
      <x:c r="A7" s="30" t="s">
        <x:v>2</x:v>
      </x:c>
      <x:c r="B7" s="31" t="s">
        <x:v>3</x:v>
      </x:c>
      <x:c r="C7" s="30" t="s">
        <x:v>4</x:v>
      </x:c>
      <x:c r="D7" s="31" t="s">
        <x:v>5</x:v>
      </x:c>
      <x:c r="E7" s="30" t="s">
        <x:v>6</x:v>
      </x:c>
      <x:c r="F7" s="34" t="s">
        <x:v>7</x:v>
      </x:c>
      <x:c r="G7" s="38" t="s">
        <x:v>8</x:v>
      </x:c>
      <x:c r="H7" s="39" t="s">
        <x:v>9</x:v>
      </x:c>
    </x:row>
    <x:row r="8" ht="27.950000762939453" customHeight="1">
      <x:c r="A8" s="30" t="s">
        <x:v>10</x:v>
      </x:c>
      <x:c r="B8" s="31" t="s">
        <x:v>11</x:v>
      </x:c>
      <x:c r="C8" s="30" t="s">
        <x:v>12</x:v>
      </x:c>
      <x:c r="D8" s="31" t="s">
        <x:v>13</x:v>
      </x:c>
      <x:c r="E8" s="30" t="s">
        <x:v>14</x:v>
      </x:c>
      <x:c r="F8" s="44">
        <x:v>4000</x:v>
      </x:c>
      <x:c r="G8" s="38" t="s">
        <x:v>15</x:v>
      </x:c>
      <x:c r="H8" s="39" t="s">
        <x:v>16</x:v>
      </x:c>
    </x:row>
    <x:row r="9" ht="33.95000076293945" customHeight="1">
      <x:c r="A9" s="30" t="s">
        <x:v>17</x:v>
      </x:c>
      <x:c r="B9" s="32" t="s">
        <x:v>18</x:v>
      </x:c>
      <x:c r="C9" s="33"/>
      <x:c r="D9" s="33"/>
      <x:c r="E9" s="33"/>
      <x:c r="F9" s="33"/>
      <x:c r="G9" s="33"/>
      <x:c r="H9" s="33"/>
    </x:row>
    <x:row r="10" ht="33.95000076293945" customHeight="1">
      <x:c r="A10" s="30" t="s">
        <x:v>19</x:v>
      </x:c>
      <x:c r="B10" s="32" t="s">
        <x:v>20</x:v>
      </x:c>
      <x:c r="C10" s="33"/>
      <x:c r="D10" s="33"/>
      <x:c r="E10" s="33"/>
      <x:c r="F10" s="33"/>
      <x:c r="G10" s="33"/>
      <x:c r="H10" s="33"/>
    </x:row>
    <x:row r="11">
      <x:c r="A11" s="1"/>
      <x:c r="B11" s="1"/>
      <x:c r="C11" s="1"/>
      <x:c r="D11" s="1"/>
      <x:c r="E11" s="1"/>
      <x:c r="F11" s="1"/>
      <x:c r="G11" s="1"/>
      <x:c r="H11" s="1"/>
    </x:row>
    <x:row r="12" ht="16.5">
      <x:c r="A12" s="6" t="s">
        <x:v>21</x:v>
      </x:c>
      <x:c r="B12" s="35" t="s">
        <x:v>22</x:v>
      </x:c>
      <x:c r="C12" s="35"/>
      <x:c r="D12" s="6" t="s">
        <x:v>23</x:v>
      </x:c>
      <x:c r="E12" s="28" t="s">
        <x:v>24</x:v>
      </x:c>
      <x:c r="F12" s="28" t="s">
        <x:v>25</x:v>
      </x:c>
      <x:c r="G12" s="40" t="s">
        <x:v>26</x:v>
      </x:c>
      <x:c r="H12" s="40"/>
    </x:row>
    <x:row r="13" ht="23.100000381469727" customHeight="1">
      <x:c r="A13" s="7">
        <x:v>1</x:v>
      </x:c>
      <x:c r="B13" s="36" t="s">
        <x:v>27</x:v>
      </x:c>
      <x:c r="C13" s="36"/>
      <x:c r="D13" s="7">
        <x:v>1</x:v>
      </x:c>
      <x:c r="E13" s="87">
        <x:v>10500</x:v>
      </x:c>
      <x:c r="F13" s="42" t="s">
        <x:v>28</x:v>
      </x:c>
      <x:c r="G13" s="87" t="n">
        <x:f>IF(COUNTA(B13:F13)=0,"",IF(UPPER(TRIM(F13))="Y",0,E13))</x:f>
        <x:v>0</x:v>
      </x:c>
      <x:c r="H13" s="43"/>
    </x:row>
    <x:row r="14" ht="23.100000381469727" customHeight="1">
      <x:c r="A14" s="7">
        <x:v>2</x:v>
      </x:c>
      <x:c r="B14" s="36" t="s">
        <x:v>29</x:v>
      </x:c>
      <x:c r="C14" s="36"/>
      <x:c r="D14" s="7">
        <x:v>1</x:v>
      </x:c>
      <x:c r="E14" s="87">
        <x:v>11000</x:v>
      </x:c>
      <x:c r="F14" s="10"/>
      <x:c r="G14" s="87" t="n">
        <x:f>IF(COUNTA(B14:F14)=0,"",IF(UPPER(TRIM(F14))="Y",0,E14))</x:f>
        <x:v>11000</x:v>
      </x:c>
      <x:c r="H14" s="43"/>
    </x:row>
    <x:row r="15" ht="23.100000381469727" customHeight="1">
      <x:c r="A15" s="7">
        <x:v>3</x:v>
      </x:c>
      <x:c r="B15" s="36" t="s">
        <x:v>30</x:v>
      </x:c>
      <x:c r="C15" s="36"/>
      <x:c r="D15" s="7">
        <x:v>2</x:v>
      </x:c>
      <x:c r="E15" s="87">
        <x:v>11500</x:v>
      </x:c>
      <x:c r="F15" s="10"/>
      <x:c r="G15" s="87" t="n">
        <x:f>IF(COUNTA(B15:F15)=0,"",IF(UPPER(TRIM(F15))="Y",0,E15))</x:f>
        <x:v>11500</x:v>
      </x:c>
      <x:c r="H15" s="43"/>
    </x:row>
    <x:row r="16" ht="23.100000381469727" customHeight="1">
      <x:c r="A16" s="7">
        <x:v>4</x:v>
      </x:c>
      <x:c r="B16" s="36" t="s">
        <x:v>31</x:v>
      </x:c>
      <x:c r="C16" s="36"/>
      <x:c r="D16" s="7">
        <x:v>1</x:v>
      </x:c>
      <x:c r="E16" s="87">
        <x:v>12000</x:v>
      </x:c>
      <x:c r="F16" s="10"/>
      <x:c r="G16" s="87" t="n">
        <x:f>IF(COUNTA(B16:F16)=0,"",IF(UPPER(TRIM(F16))="Y",0,E16))</x:f>
        <x:v>12000</x:v>
      </x:c>
      <x:c r="H16" s="43"/>
    </x:row>
    <x:row r="17" ht="23.100000381469727" customHeight="1">
      <x:c r="A17" s="7">
        <x:v>5</x:v>
      </x:c>
      <x:c r="B17" s="36" t="s">
        <x:v>32</x:v>
      </x:c>
      <x:c r="C17" s="36"/>
      <x:c r="D17" s="7">
        <x:v>1</x:v>
      </x:c>
      <x:c r="E17" s="87">
        <x:v>12500</x:v>
      </x:c>
      <x:c r="F17" s="10"/>
      <x:c r="G17" s="87" t="n">
        <x:f>IF(COUNTA(B17:F17)=0,"",IF(UPPER(TRIM(F17))="Y",0,E17))</x:f>
        <x:v>12500</x:v>
      </x:c>
      <x:c r="H17" s="43"/>
    </x:row>
    <x:row r="18" ht="23.100000381469727" customHeight="1">
      <x:c r="A18" s="7">
        <x:v>6</x:v>
      </x:c>
      <x:c r="B18" s="36" t="s">
        <x:v>33</x:v>
      </x:c>
      <x:c r="C18" s="36"/>
      <x:c r="D18" s="7">
        <x:v>2</x:v>
      </x:c>
      <x:c r="E18" s="87">
        <x:v>13000</x:v>
      </x:c>
      <x:c r="F18" s="10"/>
      <x:c r="G18" s="87" t="n">
        <x:f>IF(COUNTA(B18:F18)=0,"",IF(UPPER(TRIM(F18))="Y",0,E18))</x:f>
        <x:v>13000</x:v>
      </x:c>
      <x:c r="H18" s="43"/>
    </x:row>
    <x:row r="19" ht="23.100000381469727" customHeight="1">
      <x:c r="A19" s="7">
        <x:v>7</x:v>
      </x:c>
      <x:c r="B19" s="36" t="s">
        <x:v>34</x:v>
      </x:c>
      <x:c r="C19" s="36"/>
      <x:c r="D19" s="7">
        <x:v>1</x:v>
      </x:c>
      <x:c r="E19" s="87">
        <x:v>13500</x:v>
      </x:c>
      <x:c r="F19" s="10"/>
      <x:c r="G19" s="87" t="n">
        <x:f>IF(COUNTA(B19:F19)=0,"",IF(UPPER(TRIM(F19))="Y",0,E19))</x:f>
        <x:v>13500</x:v>
      </x:c>
      <x:c r="H19" s="43"/>
    </x:row>
    <x:row r="20" ht="23.100000381469727" customHeight="1">
      <x:c r="A20" s="7">
        <x:v>8</x:v>
      </x:c>
      <x:c r="B20" s="36" t="s">
        <x:v>35</x:v>
      </x:c>
      <x:c r="C20" s="36"/>
      <x:c r="D20" s="7">
        <x:v>1</x:v>
      </x:c>
      <x:c r="E20" s="87">
        <x:v>14000</x:v>
      </x:c>
      <x:c r="F20" s="10"/>
      <x:c r="G20" s="87" t="n">
        <x:f>IF(COUNTA(B20:F20)=0,"",IF(UPPER(TRIM(F20))="Y",0,E20))</x:f>
        <x:v>14000</x:v>
      </x:c>
      <x:c r="H20" s="43"/>
    </x:row>
    <x:row r="21" ht="23.100000381469727" customHeight="1">
      <x:c r="A21" s="7">
        <x:v>9</x:v>
      </x:c>
      <x:c r="B21" s="36" t="s">
        <x:v>36</x:v>
      </x:c>
      <x:c r="C21" s="36"/>
      <x:c r="D21" s="7">
        <x:v>2</x:v>
      </x:c>
      <x:c r="E21" s="87">
        <x:v>14500</x:v>
      </x:c>
      <x:c r="F21" s="10"/>
      <x:c r="G21" s="87" t="n">
        <x:f>IF(COUNTA(B21:F21)=0,"",IF(UPPER(TRIM(F21))="Y",0,E21))</x:f>
        <x:v>14500</x:v>
      </x:c>
      <x:c r="H21" s="43"/>
    </x:row>
    <x:row r="22" ht="23.100000381469727" customHeight="1">
      <x:c r="A22" s="7">
        <x:v>10</x:v>
      </x:c>
      <x:c r="B22" s="36" t="s">
        <x:v>37</x:v>
      </x:c>
      <x:c r="C22" s="36"/>
      <x:c r="D22" s="7">
        <x:v>1</x:v>
      </x:c>
      <x:c r="E22" s="87">
        <x:v>15000</x:v>
      </x:c>
      <x:c r="F22" s="10"/>
      <x:c r="G22" s="87" t="n">
        <x:f>IF(COUNTA(B22:F22)=0,"",IF(UPPER(TRIM(F22))="Y",0,E22))</x:f>
        <x:v>15000</x:v>
      </x:c>
      <x:c r="H22" s="43"/>
    </x:row>
    <x:row r="23" ht="23.100000381469727" customHeight="1">
      <x:c r="A23" s="7">
        <x:v>11</x:v>
      </x:c>
      <x:c r="B23" s="36" t="s">
        <x:v>38</x:v>
      </x:c>
      <x:c r="C23" s="36"/>
      <x:c r="D23" s="7">
        <x:v>1</x:v>
      </x:c>
      <x:c r="E23" s="87">
        <x:v>15500</x:v>
      </x:c>
      <x:c r="F23" s="10"/>
      <x:c r="G23" s="87" t="n">
        <x:f>IF(COUNTA(B23:F23)=0,"",IF(UPPER(TRIM(F23))="Y",0,E23))</x:f>
        <x:v>15500</x:v>
      </x:c>
      <x:c r="H23" s="43"/>
    </x:row>
    <x:row r="24" ht="23.100000381469727" customHeight="1">
      <x:c r="A24" s="7">
        <x:v>12</x:v>
      </x:c>
      <x:c r="B24" s="36" t="s">
        <x:v>39</x:v>
      </x:c>
      <x:c r="C24" s="36"/>
      <x:c r="D24" s="7">
        <x:v>2</x:v>
      </x:c>
      <x:c r="E24" s="87">
        <x:v>16000</x:v>
      </x:c>
      <x:c r="F24" s="42" t="s">
        <x:v>28</x:v>
      </x:c>
      <x:c r="G24" s="87" t="n">
        <x:f>IF(COUNTA(B24:F24)=0,"",IF(UPPER(TRIM(F24))="Y",0,E24))</x:f>
        <x:v>0</x:v>
      </x:c>
      <x:c r="H24" s="43"/>
    </x:row>
    <x:row r="25" ht="23.100000381469727" customHeight="1">
      <x:c r="A25" s="7">
        <x:v>13</x:v>
      </x:c>
      <x:c r="B25" s="37" t="s">
        <x:v>40</x:v>
      </x:c>
      <x:c r="C25" s="37"/>
      <x:c r="D25" s="7">
        <x:v>1</x:v>
      </x:c>
      <x:c r="E25" s="87">
        <x:v>13800</x:v>
      </x:c>
      <x:c r="F25" s="10"/>
      <x:c r="G25" s="87" t="n">
        <x:f>IF(COUNTA(B25:F25)=0,"",IF(UPPER(TRIM(F25))="Y",0,E25))</x:f>
        <x:v>13800</x:v>
      </x:c>
      <x:c r="H25" s="43"/>
    </x:row>
    <x:row r="26" ht="23.100000381469727" customHeight="1">
      <x:c r="A26" s="7">
        <x:v>14</x:v>
      </x:c>
      <x:c r="B26" s="37" t="s">
        <x:v>41</x:v>
      </x:c>
      <x:c r="C26" s="37"/>
      <x:c r="D26" s="7">
        <x:v>1</x:v>
      </x:c>
      <x:c r="E26" s="87">
        <x:v>14100</x:v>
      </x:c>
      <x:c r="F26" s="10"/>
      <x:c r="G26" s="87" t="n">
        <x:f>IF(COUNTA(B26:F26)=0,"",IF(UPPER(TRIM(F26))="Y",0,E26))</x:f>
        <x:v>14100</x:v>
      </x:c>
      <x:c r="H26" s="43"/>
    </x:row>
    <x:row r="27" ht="23.100000381469727" customHeight="1">
      <x:c r="A27" s="7">
        <x:v>15</x:v>
      </x:c>
      <x:c r="B27" s="37" t="s">
        <x:v>42</x:v>
      </x:c>
      <x:c r="C27" s="37"/>
      <x:c r="D27" s="7">
        <x:v>1</x:v>
      </x:c>
      <x:c r="E27" s="87">
        <x:v>14400</x:v>
      </x:c>
      <x:c r="F27" s="10"/>
      <x:c r="G27" s="87" t="n">
        <x:f>IF(COUNTA(B27:F27)=0,"",IF(UPPER(TRIM(F27))="Y",0,E27))</x:f>
        <x:v>14400</x:v>
      </x:c>
      <x:c r="H27" s="43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 ht="23.100000381469727" customHeight="1">
      <x:c r="A29" s="41" t="s">
        <x:v>43</x:v>
      </x:c>
      <x:c r="B29" s="41"/>
      <x:c r="C29" s="41"/>
      <x:c r="D29" s="41"/>
      <x:c r="E29" s="41"/>
      <x:c r="F29" s="41"/>
      <x:c r="G29" s="41"/>
      <x:c r="H29" s="41"/>
    </x:row>
    <x:row r="30" ht="23.100000381469727" customHeight="1">
      <x:c r="A30" s="41"/>
      <x:c r="B30" s="41"/>
      <x:c r="C30" s="41"/>
      <x:c r="D30" s="41"/>
      <x:c r="E30" s="41"/>
      <x:c r="F30" s="41"/>
      <x:c r="G30" s="41"/>
      <x:c r="H30" s="41"/>
    </x:row>
    <x:row r="31" ht="23.100000381469727" customHeight="1">
      <x:c r="A31" s="41"/>
      <x:c r="B31" s="41"/>
      <x:c r="C31" s="41"/>
      <x:c r="D31" s="41"/>
      <x:c r="E31" s="41"/>
      <x:c r="F31" s="41"/>
      <x:c r="G31" s="41"/>
      <x:c r="H31" s="4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20"/>
      <x:c r="B33" s="20"/>
      <x:c r="C33" s="20"/>
      <x:c r="D33" s="20"/>
      <x:c r="E33" s="20"/>
      <x:c r="F33" s="20"/>
      <x:c r="G33" s="20"/>
      <x:c r="H33" s="20"/>
    </x:row>
    <x:row r="34">
      <x:c r="A34" s="29"/>
      <x:c r="B34" s="29"/>
      <x:c r="C34" s="29"/>
      <x:c r="D34" s="29"/>
      <x:c r="E34" s="29"/>
      <x:c r="F34" s="29"/>
      <x:c r="G34" s="29"/>
      <x:c r="H34" s="29"/>
    </x:row>
    <x:row r="35" ht="19.5" customHeight="1">
      <x:c r="A35" s="29"/>
      <x:c r="B35" s="29"/>
      <x:c r="C35" s="29"/>
      <x:c r="D35" s="29"/>
      <x:c r="E35" s="29"/>
      <x:c r="F35" s="29"/>
      <x:c r="G35" s="29"/>
      <x:c r="H35" s="29"/>
    </x:row>
    <x:row r="36" ht="27.950000762939453" customHeight="1">
      <x:c r="A36" s="4" t="s">
        <x:v>2</x:v>
      </x:c>
      <x:c r="B36" s="5" t="s">
        <x:v>3</x:v>
      </x:c>
      <x:c r="C36" s="4" t="s">
        <x:v>44</x:v>
      </x:c>
      <x:c r="D36" s="5" t="s">
        <x:v>45</x:v>
      </x:c>
      <x:c r="E36" s="4" t="s">
        <x:v>4</x:v>
      </x:c>
      <x:c r="F36" s="19" t="s">
        <x:v>5</x:v>
      </x:c>
      <x:c r="G36" s="19"/>
      <x:c r="H36" s="19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 ht="16.5">
      <x:c r="A38" s="6" t="s">
        <x:v>21</x:v>
      </x:c>
      <x:c r="B38" s="35" t="s">
        <x:v>22</x:v>
      </x:c>
      <x:c r="C38" s="35"/>
      <x:c r="D38" s="6" t="s">
        <x:v>23</x:v>
      </x:c>
      <x:c r="E38" s="28" t="s">
        <x:v>24</x:v>
      </x:c>
      <x:c r="F38" s="28" t="s">
        <x:v>25</x:v>
      </x:c>
      <x:c r="G38" s="40" t="s">
        <x:v>26</x:v>
      </x:c>
      <x:c r="H38" s="40"/>
    </x:row>
    <x:row r="39" ht="23.100000381469727" customHeight="1">
      <x:c r="A39" s="7">
        <x:v>16</x:v>
      </x:c>
      <x:c r="B39" s="36" t="s">
        <x:v>46</x:v>
      </x:c>
      <x:c r="C39" s="36"/>
      <x:c r="D39" s="7">
        <x:v>1</x:v>
      </x:c>
      <x:c r="E39" s="87">
        <x:v>13800</x:v>
      </x:c>
      <x:c r="F39" s="42" t="s">
        <x:v>28</x:v>
      </x:c>
      <x:c r="G39" s="87" t="n">
        <x:f>IF(COUNTA(B39:F39)=0,"",IF(UPPER(TRIM(F39))="Y",0,E39))</x:f>
        <x:v>0</x:v>
      </x:c>
      <x:c r="H39" s="43"/>
    </x:row>
    <x:row r="40" ht="23.100000381469727" customHeight="1">
      <x:c r="A40" s="7">
        <x:v>17</x:v>
      </x:c>
      <x:c r="B40" s="36" t="s">
        <x:v>47</x:v>
      </x:c>
      <x:c r="C40" s="36"/>
      <x:c r="D40" s="7">
        <x:v>1</x:v>
      </x:c>
      <x:c r="E40" s="87">
        <x:v>14100</x:v>
      </x:c>
      <x:c r="F40" s="10"/>
      <x:c r="G40" s="87" t="n">
        <x:f>IF(COUNTA(B40:F40)=0,"",IF(UPPER(TRIM(F40))="Y",0,E40))</x:f>
        <x:v>14100</x:v>
      </x:c>
      <x:c r="H40" s="43"/>
    </x:row>
    <x:row r="41" ht="23.100000381469727" customHeight="1">
      <x:c r="A41" s="7">
        <x:v>18</x:v>
      </x:c>
      <x:c r="B41" s="36" t="s">
        <x:v>48</x:v>
      </x:c>
      <x:c r="C41" s="36"/>
      <x:c r="D41" s="7">
        <x:v>1</x:v>
      </x:c>
      <x:c r="E41" s="87">
        <x:v>14400</x:v>
      </x:c>
      <x:c r="F41" s="10"/>
      <x:c r="G41" s="87" t="n">
        <x:f>IF(COUNTA(B41:F41)=0,"",IF(UPPER(TRIM(F41))="Y",0,E41))</x:f>
        <x:v>14400</x:v>
      </x:c>
      <x:c r="H41" s="43"/>
    </x:row>
    <x:row r="42" ht="23.100000381469727" customHeight="1">
      <x:c r="A42" s="7">
        <x:v>19</x:v>
      </x:c>
      <x:c r="B42" s="36" t="s">
        <x:v>49</x:v>
      </x:c>
      <x:c r="C42" s="36"/>
      <x:c r="D42" s="7">
        <x:v>1</x:v>
      </x:c>
      <x:c r="E42" s="87">
        <x:v>14700</x:v>
      </x:c>
      <x:c r="F42" s="10"/>
      <x:c r="G42" s="87" t="n">
        <x:f>IF(COUNTA(B42:F42)=0,"",IF(UPPER(TRIM(F42))="Y",0,E42))</x:f>
        <x:v>14700</x:v>
      </x:c>
      <x:c r="H42" s="43"/>
    </x:row>
    <x:row r="43" ht="23.100000381469727" customHeight="1">
      <x:c r="A43" s="7">
        <x:v>20</x:v>
      </x:c>
      <x:c r="B43" s="36" t="s">
        <x:v>50</x:v>
      </x:c>
      <x:c r="C43" s="36"/>
      <x:c r="D43" s="7">
        <x:v>1</x:v>
      </x:c>
      <x:c r="E43" s="87">
        <x:v>15000</x:v>
      </x:c>
      <x:c r="F43" s="10"/>
      <x:c r="G43" s="87" t="n">
        <x:f>IF(COUNTA(B43:F43)=0,"",IF(UPPER(TRIM(F43))="Y",0,E43))</x:f>
        <x:v>15000</x:v>
      </x:c>
      <x:c r="H43" s="43"/>
    </x:row>
    <x:row r="44" ht="23.100000381469727" customHeight="1">
      <x:c r="A44" s="7"/>
      <x:c r="B44" s="8"/>
      <x:c r="C44" s="7"/>
      <x:c r="D44" s="7"/>
      <x:c r="E44" s="87"/>
      <x:c r="F44" s="10"/>
      <x:c r="G44" s="87" t="str">
        <x:f>IF(COUNTA(B44:F44)=0,"",IF(UPPER(TRIM(F44))="Y",0,E44))</x:f>
      </x:c>
      <x:c r="H44" s="43"/>
    </x:row>
    <x:row r="45" ht="23.100000381469727" customHeight="1">
      <x:c r="A45" s="7"/>
      <x:c r="B45" s="8"/>
      <x:c r="C45" s="7"/>
      <x:c r="D45" s="7"/>
      <x:c r="E45" s="87"/>
      <x:c r="F45" s="10"/>
      <x:c r="G45" s="87" t="str">
        <x:f>IF(COUNTA(B45:F45)=0,"",IF(UPPER(TRIM(F45))="Y",0,E45))</x:f>
      </x:c>
      <x:c r="H45" s="43"/>
    </x:row>
    <x:row r="46" ht="23.100000381469727" customHeight="1">
      <x:c r="A46" s="7"/>
      <x:c r="B46" s="8"/>
      <x:c r="C46" s="7"/>
      <x:c r="D46" s="7"/>
      <x:c r="E46" s="87"/>
      <x:c r="F46" s="10"/>
      <x:c r="G46" s="87" t="str">
        <x:f>IF(COUNTA(B46:F46)=0,"",IF(UPPER(TRIM(F46))="Y",0,E46))</x:f>
      </x:c>
      <x:c r="H46" s="43"/>
    </x:row>
    <x:row r="47" ht="23.100000381469727" customHeight="1">
      <x:c r="A47" s="7"/>
      <x:c r="B47" s="8"/>
      <x:c r="C47" s="7"/>
      <x:c r="D47" s="7"/>
      <x:c r="E47" s="87"/>
      <x:c r="F47" s="10"/>
      <x:c r="G47" s="87" t="str">
        <x:f>IF(COUNTA(B47:F47)=0,"",IF(UPPER(TRIM(F47))="Y",0,E47))</x:f>
      </x:c>
      <x:c r="H47" s="43"/>
    </x:row>
    <x:row r="48" ht="23.100000381469727" customHeight="1">
      <x:c r="A48" s="7"/>
      <x:c r="B48" s="8"/>
      <x:c r="C48" s="7"/>
      <x:c r="D48" s="7"/>
      <x:c r="E48" s="87"/>
      <x:c r="F48" s="10"/>
      <x:c r="G48" s="87" t="str">
        <x:f>IF(COUNTA(B48:F48)=0,"",IF(UPPER(TRIM(F48))="Y",0,E48))</x:f>
      </x:c>
      <x:c r="H48" s="43"/>
    </x:row>
    <x:row r="49" ht="23.100000381469727" customHeight="1">
      <x:c r="A49" s="7"/>
      <x:c r="B49" s="8"/>
      <x:c r="C49" s="7"/>
      <x:c r="D49" s="7"/>
      <x:c r="E49" s="87"/>
      <x:c r="F49" s="10"/>
      <x:c r="G49" s="87" t="str">
        <x:f>IF(COUNTA(B49:F49)=0,"",IF(UPPER(TRIM(F49))="Y",0,E49))</x:f>
      </x:c>
      <x:c r="H49" s="43"/>
    </x:row>
    <x:row r="50" ht="23.100000381469727" customHeight="1">
      <x:c r="A50" s="7"/>
      <x:c r="B50" s="8"/>
      <x:c r="C50" s="7"/>
      <x:c r="D50" s="7"/>
      <x:c r="E50" s="87"/>
      <x:c r="F50" s="42"/>
      <x:c r="G50" s="87" t="str">
        <x:f>IF(COUNTA(B50:F50)=0,"",IF(UPPER(TRIM(F50))="Y",0,E50))</x:f>
      </x:c>
      <x:c r="H50" s="43"/>
    </x:row>
    <x:row r="51" ht="23.100000381469727" customHeight="1">
      <x:c r="A51" s="7"/>
      <x:c r="B51" s="8"/>
      <x:c r="C51" s="7"/>
      <x:c r="D51" s="7"/>
      <x:c r="E51" s="87"/>
      <x:c r="F51" s="10"/>
      <x:c r="G51" s="87" t="str">
        <x:f>IF(COUNTA(B51:F51)=0,"",IF(UPPER(TRIM(F51))="Y",0,E51))</x:f>
      </x:c>
      <x:c r="H51" s="43"/>
    </x:row>
    <x:row r="52" ht="23.100000381469727" customHeight="1">
      <x:c r="A52" s="7"/>
      <x:c r="B52" s="8"/>
      <x:c r="C52" s="7"/>
      <x:c r="D52" s="7"/>
      <x:c r="E52" s="87"/>
      <x:c r="F52" s="10"/>
      <x:c r="G52" s="87" t="str">
        <x:f>IF(COUNTA(B52:F52)=0,"",IF(UPPER(TRIM(F52))="Y",0,E52))</x:f>
      </x:c>
      <x:c r="H52" s="43"/>
    </x:row>
    <x:row r="53" ht="23.100000381469727" customHeight="1">
      <x:c r="A53" s="7"/>
      <x:c r="B53" s="8"/>
      <x:c r="C53" s="7"/>
      <x:c r="D53" s="7"/>
      <x:c r="E53" s="87"/>
      <x:c r="F53" s="10"/>
      <x:c r="G53" s="87" t="str">
        <x:f>IF(COUNTA(B53:F53)=0,"",IF(UPPER(TRIM(F53))="Y",0,E53))</x:f>
      </x:c>
      <x:c r="H53" s="43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 ht="16.5">
      <x:c r="A56" s="1"/>
      <x:c r="B56" s="1"/>
      <x:c r="C56" s="1"/>
      <x:c r="D56" s="1"/>
      <x:c r="E56" s="21" t="s">
        <x:v>51</x:v>
      </x:c>
      <x:c r="F56" s="21"/>
      <x:c r="G56" s="21"/>
      <x:c r="H56" s="21"/>
    </x:row>
    <x:row r="57" ht="26.100000381469727" customHeight="1">
      <x:c r="A57" s="1"/>
      <x:c r="B57" s="1"/>
      <x:c r="C57" s="1"/>
      <x:c r="D57" s="1"/>
      <x:c r="E57" s="2" t="s">
        <x:v>52</x:v>
      </x:c>
      <x:c r="F57" s="89" t="n">
        <x:f>IF(COUNTA(B13:B27)+COUNTA(B39:B53)=0,"",SUM(G13:G27,G39:G53))</x:f>
        <x:v>233000</x:v>
      </x:c>
      <x:c r="G57" s="45"/>
      <x:c r="H57" s="45"/>
    </x:row>
    <x:row r="58" ht="26.100000381469727" customHeight="1">
      <x:c r="A58" s="1"/>
      <x:c r="B58" s="1"/>
      <x:c r="C58" s="1"/>
      <x:c r="D58" s="1"/>
      <x:c r="E58" s="2" t="s">
        <x:v>14</x:v>
      </x:c>
      <x:c r="F58" s="89" t="n">
        <x:f>IF(COUNTA(B13:B27)+COUNTA(B39:B53)=0,"",IF(F57&gt;0,F8,0))</x:f>
        <x:v>4000</x:v>
      </x:c>
      <x:c r="G58" s="45"/>
      <x:c r="H58" s="45"/>
    </x:row>
    <x:row r="59" ht="26.100000381469727" customHeight="1">
      <x:c r="A59" s="1"/>
      <x:c r="B59" s="1"/>
      <x:c r="C59" s="1"/>
      <x:c r="D59" s="1"/>
      <x:c r="E59" s="2" t="str">
        <x:v>카드수수료</x:v>
      </x:c>
      <x:c r="F59" s="89" t="n">
        <x:f>IF(COUNTA(B13:B27)+COUNTA(B39:B53)=0,"",IF(AND(ISNUMBER(SEARCH("카드",B8)),F57&gt;0),ROUND(F57*'기본설정'!$B$9,0),0))</x:f>
        <x:v>0</x:v>
      </x:c>
      <x:c r="G59" s="45"/>
      <x:c r="H59" s="45"/>
    </x:row>
    <x:row r="60" ht="26.100000381469727" customHeight="1">
      <x:c r="A60" s="1"/>
      <x:c r="B60" s="1"/>
      <x:c r="C60" s="1"/>
      <x:c r="D60" s="1"/>
      <x:c r="E60" s="11" t="s">
        <x:v>53</x:v>
      </x:c>
      <x:c r="F60" s="90" t="n">
        <x:f>IF(COUNTA(B13:B27)+COUNTA(B39:B53)=0,"",SUM(F57:F59))</x:f>
        <x:v>237000</x:v>
      </x:c>
      <x:c r="G60" s="46"/>
      <x:c r="H60" s="46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22" t="s">
        <x:v>54</x:v>
      </x:c>
      <x:c r="B63" s="22"/>
      <x:c r="C63" s="22"/>
      <x:c r="D63" s="22"/>
      <x:c r="E63" s="22"/>
      <x:c r="F63" s="22"/>
      <x:c r="G63" s="22"/>
      <x:c r="H63" s="22"/>
    </x:row>
    <x:row r="64">
      <x:c r="A64" s="22"/>
      <x:c r="B64" s="22"/>
      <x:c r="C64" s="22"/>
      <x:c r="D64" s="22"/>
      <x:c r="E64" s="22"/>
      <x:c r="F64" s="22"/>
      <x:c r="G64" s="22"/>
      <x:c r="H64" s="22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</x:sheetData>
  <x:mergeCells>
    <x:mergeCell ref="G50:H50"/>
    <x:mergeCell ref="G51:H51"/>
    <x:mergeCell ref="G52:H52"/>
    <x:mergeCell ref="G53:H53"/>
    <x:mergeCell ref="E56:H56"/>
    <x:mergeCell ref="G27:H27"/>
    <x:mergeCell ref="G38:H38"/>
    <x:mergeCell ref="G39:H39"/>
    <x:mergeCell ref="G40:H40"/>
    <x:mergeCell ref="G41:H41"/>
    <x:mergeCell ref="G12:H12"/>
    <x:mergeCell ref="G13:H13"/>
    <x:mergeCell ref="G14:H14"/>
    <x:mergeCell ref="G15:H15"/>
    <x:mergeCell ref="G16:H16"/>
    <x:mergeCell ref="G17:H17"/>
    <x:mergeCell ref="G18:H18"/>
    <x:mergeCell ref="G19:H19"/>
    <x:mergeCell ref="G20:H20"/>
    <x:mergeCell ref="G21:H21"/>
    <x:mergeCell ref="G22:H22"/>
    <x:mergeCell ref="G23:H23"/>
    <x:mergeCell ref="G24:H24"/>
    <x:mergeCell ref="G25:H25"/>
    <x:mergeCell ref="G26:H26"/>
    <x:mergeCell ref="B27:C27"/>
    <x:mergeCell ref="B38:C38"/>
    <x:mergeCell ref="B39:C39"/>
    <x:mergeCell ref="B40:C40"/>
    <x:mergeCell ref="B41:C41"/>
    <x:mergeCell ref="B22:C22"/>
    <x:mergeCell ref="B23:C23"/>
    <x:mergeCell ref="B24:C24"/>
    <x:mergeCell ref="B25:C25"/>
    <x:mergeCell ref="B26:C26"/>
    <x:mergeCell ref="B17:C17"/>
    <x:mergeCell ref="B18:C18"/>
    <x:mergeCell ref="B19:C19"/>
    <x:mergeCell ref="B20:C20"/>
    <x:mergeCell ref="B21:C21"/>
    <x:mergeCell ref="B12:C12"/>
    <x:mergeCell ref="B13:C13"/>
    <x:mergeCell ref="B14:C14"/>
    <x:mergeCell ref="B15:C15"/>
    <x:mergeCell ref="B16:C16"/>
    <x:mergeCell ref="A63:H64"/>
    <x:mergeCell ref="F57:H57"/>
    <x:mergeCell ref="F58:H58"/>
    <x:mergeCell ref="F59:H59"/>
    <x:mergeCell ref="F60:H60"/>
    <x:mergeCell ref="A29:H31"/>
    <x:mergeCell ref="A33:H33"/>
    <x:mergeCell ref="F36:H36"/>
    <x:mergeCell ref="A34:H35"/>
    <x:mergeCell ref="B42:C42"/>
    <x:mergeCell ref="B43:C43"/>
    <x:mergeCell ref="G42:H42"/>
    <x:mergeCell ref="G43:H43"/>
    <x:mergeCell ref="G44:H44"/>
    <x:mergeCell ref="G45:H45"/>
    <x:mergeCell ref="G46:H46"/>
    <x:mergeCell ref="G47:H47"/>
    <x:mergeCell ref="G48:H48"/>
    <x:mergeCell ref="G49:H49"/>
    <x:mergeCell ref="A3:H3"/>
    <x:mergeCell ref="B9:H9"/>
    <x:mergeCell ref="B10:H10"/>
    <x:mergeCell ref="A1:B1"/>
    <x:mergeCell ref="A4:H6"/>
  </x:mergeCells>
  <x:dataValidations count="2">
    <x:dataValidation type="list" sqref="F13:F27">
      <x:formula1>"Y,N"</x:formula1>
    </x:dataValidation>
    <x:dataValidation type="list" sqref="F39:F53">
      <x:formula1>"Y,N"</x:formula1>
    </x:dataValidation>
  </x:dataValidations>
  <x:pageMargins left="0.7" right="0.7" top="0.75" bottom="0.75" header="0.3" footer="0.3"/>
  <x:drawing xmlns:r="http://schemas.openxmlformats.org/officeDocument/2006/relationships" r:id="R1a2e5af4ca634681"/>
</x:worksheet>
</file>

<file path=xl/worksheets/sheet2.xml><?xml version="1.0" encoding="utf-8"?>
<x:worksheet xmlns:x="http://schemas.openxmlformats.org/spreadsheetml/2006/main">
  <x:sheetFormatPr defaultRowHeight="14.25"/>
  <x:cols>
    <x:col min="1" max="1" width="12" customWidth="1"/>
    <x:col min="2" max="2" width="13" customWidth="1"/>
    <x:col min="3" max="3" width="12" customWidth="1"/>
    <x:col min="4" max="4" width="14" customWidth="1"/>
    <x:col min="5" max="5" width="11" customWidth="1"/>
    <x:col min="6" max="6" width="10" customWidth="1"/>
    <x:col min="7" max="7" width="11" customWidth="1"/>
    <x:col min="8" max="8" width="12" customWidth="1"/>
    <x:col min="9" max="9" width="13" customWidth="1"/>
    <x:col min="10" max="10" width="12" customWidth="1"/>
    <x:col min="11" max="12" width="14" customWidth="1"/>
    <x:col min="13" max="13" width="12" customWidth="1"/>
  </x:cols>
  <x:sheetData>
    <x:row r="1" ht="19.5">
      <x:c r="A1" s="23" t="s">
        <x:v>55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</x:row>
    <x:row r="3">
      <x:c r="A3" s="2" t="s">
        <x:v>2</x:v>
      </x:c>
      <x:c r="B3" s="2" t="s">
        <x:v>56</x:v>
      </x:c>
      <x:c r="C3" s="2" t="s">
        <x:v>57</x:v>
      </x:c>
      <x:c r="D3" s="2" t="s">
        <x:v>58</x:v>
      </x:c>
      <x:c r="E3" s="2" t="s">
        <x:v>12</x:v>
      </x:c>
      <x:c r="F3" s="2" t="s">
        <x:v>59</x:v>
      </x:c>
      <x:c r="G3" s="2"/>
      <x:c r="H3" s="2"/>
      <x:c r="I3" s="2"/>
      <x:c r="J3" s="2"/>
      <x:c r="K3" s="2"/>
      <x:c r="L3" s="2"/>
      <x:c r="M3" s="2"/>
    </x:row>
    <x:row r="4" ht="51">
      <x:c r="A4" s="3" t="s">
        <x:v>3</x:v>
      </x:c>
      <x:c r="B4" s="3" t="s">
        <x:v>60</x:v>
      </x:c>
      <x:c r="C4" s="12">
        <x:v>4000</x:v>
      </x:c>
      <x:c r="D4" s="3" t="s">
        <x:v>61</x:v>
      </x:c>
      <x:c r="E4" s="3" t="s">
        <x:v>13</x:v>
      </x:c>
      <x:c r="F4" s="3" t="s">
        <x:v>62</x:v>
      </x:c>
      <x:c r="G4" s="3"/>
      <x:c r="H4" s="3"/>
      <x:c r="I4" s="3"/>
      <x:c r="J4" s="3"/>
      <x:c r="K4" s="3"/>
      <x:c r="L4" s="3"/>
      <x:c r="M4" s="3"/>
    </x:row>
    <x:row r="7">
      <x:c r="A7" s="6" t="s">
        <x:v>63</x:v>
      </x:c>
      <x:c r="B7" s="6" t="s">
        <x:v>64</x:v>
      </x:c>
      <x:c r="C7" s="6" t="s">
        <x:v>65</x:v>
      </x:c>
      <x:c r="D7" s="6" t="s">
        <x:v>6</x:v>
      </x:c>
      <x:c r="E7" s="6" t="s">
        <x:v>14</x:v>
      </x:c>
      <x:c r="F7" s="6" t="s">
        <x:v>66</x:v>
      </x:c>
      <x:c r="G7" s="6" t="s">
        <x:v>58</x:v>
      </x:c>
      <x:c r="H7" s="6" t="s">
        <x:v>53</x:v>
      </x:c>
      <x:c r="I7" s="6" t="s">
        <x:v>67</x:v>
      </x:c>
      <x:c r="J7" s="6" t="s">
        <x:v>68</x:v>
      </x:c>
      <x:c r="K7" s="6" t="s">
        <x:v>69</x:v>
      </x:c>
      <x:c r="L7" s="6" t="s">
        <x:v>70</x:v>
      </x:c>
      <x:c r="M7" s="6" t="s">
        <x:v>71</x:v>
      </x:c>
    </x:row>
    <x:row r="8" ht="24">
      <x:c r="A8" s="7" t="s">
        <x:v>72</x:v>
      </x:c>
      <x:c r="B8" s="7" t="s">
        <x:v>73</x:v>
      </x:c>
      <x:c r="C8" s="7" t="s">
        <x:v>5</x:v>
      </x:c>
      <x:c r="D8" s="7" t="s">
        <x:v>7</x:v>
      </x:c>
      <x:c r="E8" s="9">
        <x:v>4000</x:v>
      </x:c>
      <x:c r="F8" s="7" t="s">
        <x:v>9</x:v>
      </x:c>
      <x:c r="G8" s="10">
        <x:v>0.03</x:v>
      </x:c>
      <x:c r="H8" s="9">
        <x:v>45400</x:v>
      </x:c>
      <x:c r="I8" s="7"/>
      <x:c r="J8" s="8" t="s">
        <x:v>74</x:v>
      </x:c>
      <x:c r="K8" s="13">
        <x:v>46192</x:v>
      </x:c>
      <x:c r="L8" s="13">
        <x:v>46199</x:v>
      </x:c>
      <x:c r="M8" s="14" t="n">
        <x:f>IF(L8="","",L8-TODAY())</x:f>
        <x:v>7</x:v>
      </x:c>
    </x:row>
    <x:row r="9">
      <x:c r="A9" s="7" t="s">
        <x:v>75</x:v>
      </x:c>
      <x:c r="B9" s="7" t="s">
        <x:v>76</x:v>
      </x:c>
      <x:c r="C9" s="7" t="s">
        <x:v>77</x:v>
      </x:c>
      <x:c r="D9" s="7" t="s">
        <x:v>78</x:v>
      </x:c>
      <x:c r="E9" s="9">
        <x:v>4000</x:v>
      </x:c>
      <x:c r="F9" s="7" t="s">
        <x:v>28</x:v>
      </x:c>
      <x:c r="G9" s="10">
        <x:v>0.03</x:v>
      </x:c>
      <x:c r="H9" s="9">
        <x:v>82300</x:v>
      </x:c>
      <x:c r="I9" s="7"/>
      <x:c r="J9" s="8" t="s">
        <x:v>79</x:v>
      </x:c>
      <x:c r="K9" s="13">
        <x:v>46192</x:v>
      </x:c>
      <x:c r="L9" s="13">
        <x:v>46199</x:v>
      </x:c>
      <x:c r="M9" s="14" t="n">
        <x:f>IF(L9="","",L9-TODAY())</x:f>
        <x:v>7</x:v>
      </x:c>
    </x:row>
    <x:row r="10">
      <x:c r="A10" s="7" t="s">
        <x:v>80</x:v>
      </x:c>
      <x:c r="B10" s="7" t="s">
        <x:v>8</x:v>
      </x:c>
      <x:c r="C10" s="7" t="s">
        <x:v>81</x:v>
      </x:c>
      <x:c r="D10" s="7" t="s">
        <x:v>82</x:v>
      </x:c>
      <x:c r="E10" s="9">
        <x:v>0</x:v>
      </x:c>
      <x:c r="F10" s="7" t="s">
        <x:v>9</x:v>
      </x:c>
      <x:c r="G10" s="10">
        <x:v>0.03</x:v>
      </x:c>
      <x:c r="H10" s="9">
        <x:v>31900</x:v>
      </x:c>
      <x:c r="I10" s="7"/>
      <x:c r="J10" s="8" t="s">
        <x:v>83</x:v>
      </x:c>
      <x:c r="K10" s="13">
        <x:v>46192</x:v>
      </x:c>
      <x:c r="L10" s="13">
        <x:v>46199</x:v>
      </x:c>
      <x:c r="M10" s="14" t="n">
        <x:f>IF(L10="","",L10-TODAY())</x:f>
        <x:v>7</x:v>
      </x:c>
    </x:row>
    <x:row r="11">
      <x:c r="A11" s="7"/>
      <x:c r="B11" s="7"/>
      <x:c r="C11" s="7"/>
      <x:c r="D11" s="7"/>
      <x:c r="E11" s="9"/>
      <x:c r="F11" s="7"/>
      <x:c r="G11" s="10"/>
      <x:c r="H11" s="9"/>
      <x:c r="I11" s="7"/>
      <x:c r="J11" s="8"/>
      <x:c r="K11" s="13"/>
      <x:c r="L11" s="13"/>
      <x:c r="M11" s="14"/>
    </x:row>
    <x:row r="12">
      <x:c r="A12" s="7"/>
      <x:c r="B12" s="7"/>
      <x:c r="C12" s="7"/>
      <x:c r="D12" s="7"/>
      <x:c r="E12" s="9"/>
      <x:c r="F12" s="7"/>
      <x:c r="G12" s="10"/>
      <x:c r="H12" s="9"/>
      <x:c r="I12" s="7"/>
      <x:c r="J12" s="8"/>
      <x:c r="K12" s="13"/>
      <x:c r="L12" s="13"/>
      <x:c r="M12" s="14"/>
    </x:row>
    <x:row r="13">
      <x:c r="A13" s="7"/>
      <x:c r="B13" s="7"/>
      <x:c r="C13" s="7"/>
      <x:c r="D13" s="7"/>
      <x:c r="E13" s="9"/>
      <x:c r="F13" s="7"/>
      <x:c r="G13" s="10"/>
      <x:c r="H13" s="9"/>
      <x:c r="I13" s="7"/>
      <x:c r="J13" s="8"/>
      <x:c r="K13" s="13"/>
      <x:c r="L13" s="13"/>
      <x:c r="M13" s="14"/>
    </x:row>
    <x:row r="14">
      <x:c r="A14" s="7"/>
      <x:c r="B14" s="7"/>
      <x:c r="C14" s="7"/>
      <x:c r="D14" s="7"/>
      <x:c r="E14" s="9"/>
      <x:c r="F14" s="7"/>
      <x:c r="G14" s="10"/>
      <x:c r="H14" s="9"/>
      <x:c r="I14" s="7"/>
      <x:c r="J14" s="8"/>
      <x:c r="K14" s="13"/>
      <x:c r="L14" s="13"/>
      <x:c r="M14" s="14"/>
    </x:row>
    <x:row r="15">
      <x:c r="A15" s="7"/>
      <x:c r="B15" s="7"/>
      <x:c r="C15" s="7"/>
      <x:c r="D15" s="7"/>
      <x:c r="E15" s="9"/>
      <x:c r="F15" s="7"/>
      <x:c r="G15" s="10"/>
      <x:c r="H15" s="9"/>
      <x:c r="I15" s="7"/>
      <x:c r="J15" s="8"/>
      <x:c r="K15" s="13"/>
      <x:c r="L15" s="13"/>
      <x:c r="M15" s="14"/>
    </x:row>
    <x:row r="16">
      <x:c r="A16" s="7"/>
      <x:c r="B16" s="7"/>
      <x:c r="C16" s="7"/>
      <x:c r="D16" s="7"/>
      <x:c r="E16" s="9"/>
      <x:c r="F16" s="7"/>
      <x:c r="G16" s="10"/>
      <x:c r="H16" s="9"/>
      <x:c r="I16" s="7"/>
      <x:c r="J16" s="8"/>
      <x:c r="K16" s="13"/>
      <x:c r="L16" s="13"/>
      <x:c r="M16" s="14"/>
    </x:row>
    <x:row r="17">
      <x:c r="A17" s="7"/>
      <x:c r="B17" s="7"/>
      <x:c r="C17" s="7"/>
      <x:c r="D17" s="7"/>
      <x:c r="E17" s="9"/>
      <x:c r="F17" s="7"/>
      <x:c r="G17" s="10"/>
      <x:c r="H17" s="9"/>
      <x:c r="I17" s="7"/>
      <x:c r="J17" s="8"/>
      <x:c r="K17" s="13"/>
      <x:c r="L17" s="13"/>
      <x:c r="M17" s="14"/>
    </x:row>
    <x:row r="18">
      <x:c r="A18" s="7"/>
      <x:c r="B18" s="7"/>
      <x:c r="C18" s="7"/>
      <x:c r="D18" s="7"/>
      <x:c r="E18" s="9"/>
      <x:c r="F18" s="7"/>
      <x:c r="G18" s="10"/>
      <x:c r="H18" s="9"/>
      <x:c r="I18" s="7"/>
      <x:c r="J18" s="8"/>
      <x:c r="K18" s="13"/>
      <x:c r="L18" s="13"/>
      <x:c r="M18" s="14"/>
    </x:row>
    <x:row r="19">
      <x:c r="A19" s="7"/>
      <x:c r="B19" s="7"/>
      <x:c r="C19" s="7"/>
      <x:c r="D19" s="7"/>
      <x:c r="E19" s="9"/>
      <x:c r="F19" s="7"/>
      <x:c r="G19" s="10"/>
      <x:c r="H19" s="9"/>
      <x:c r="I19" s="7"/>
      <x:c r="J19" s="8"/>
      <x:c r="K19" s="13"/>
      <x:c r="L19" s="13"/>
      <x:c r="M19" s="14"/>
    </x:row>
    <x:row r="20">
      <x:c r="A20" s="7"/>
      <x:c r="B20" s="7"/>
      <x:c r="C20" s="7"/>
      <x:c r="D20" s="7"/>
      <x:c r="E20" s="9"/>
      <x:c r="F20" s="7"/>
      <x:c r="G20" s="10"/>
      <x:c r="H20" s="9"/>
      <x:c r="I20" s="7"/>
      <x:c r="J20" s="8"/>
      <x:c r="K20" s="13"/>
      <x:c r="L20" s="13"/>
      <x:c r="M20" s="14"/>
    </x:row>
    <x:row r="21">
      <x:c r="A21" s="7"/>
      <x:c r="B21" s="7"/>
      <x:c r="C21" s="7"/>
      <x:c r="D21" s="7"/>
      <x:c r="E21" s="9"/>
      <x:c r="F21" s="7"/>
      <x:c r="G21" s="10"/>
      <x:c r="H21" s="9"/>
      <x:c r="I21" s="7"/>
      <x:c r="J21" s="8"/>
      <x:c r="K21" s="13"/>
      <x:c r="L21" s="13"/>
      <x:c r="M21" s="14"/>
    </x:row>
    <x:row r="22">
      <x:c r="A22" s="7"/>
      <x:c r="B22" s="7"/>
      <x:c r="C22" s="7"/>
      <x:c r="D22" s="7"/>
      <x:c r="E22" s="9"/>
      <x:c r="F22" s="7"/>
      <x:c r="G22" s="10"/>
      <x:c r="H22" s="9"/>
      <x:c r="I22" s="7"/>
      <x:c r="J22" s="8"/>
      <x:c r="K22" s="13"/>
      <x:c r="L22" s="13"/>
      <x:c r="M22" s="14"/>
    </x:row>
    <x:row r="23">
      <x:c r="A23" s="7"/>
      <x:c r="B23" s="7"/>
      <x:c r="C23" s="7"/>
      <x:c r="D23" s="7"/>
      <x:c r="E23" s="9"/>
      <x:c r="F23" s="7"/>
      <x:c r="G23" s="10"/>
      <x:c r="H23" s="9"/>
      <x:c r="I23" s="7"/>
      <x:c r="J23" s="8"/>
      <x:c r="K23" s="13"/>
      <x:c r="L23" s="13"/>
      <x:c r="M23" s="14"/>
    </x:row>
    <x:row r="24">
      <x:c r="A24" s="7"/>
      <x:c r="B24" s="7"/>
      <x:c r="C24" s="7"/>
      <x:c r="D24" s="7"/>
      <x:c r="E24" s="9"/>
      <x:c r="F24" s="7"/>
      <x:c r="G24" s="10"/>
      <x:c r="H24" s="9"/>
      <x:c r="I24" s="7"/>
      <x:c r="J24" s="8"/>
      <x:c r="K24" s="13"/>
      <x:c r="L24" s="13"/>
      <x:c r="M24" s="14"/>
    </x:row>
    <x:row r="25">
      <x:c r="A25" s="7"/>
      <x:c r="B25" s="7"/>
      <x:c r="C25" s="7"/>
      <x:c r="D25" s="7"/>
      <x:c r="E25" s="9"/>
      <x:c r="F25" s="7"/>
      <x:c r="G25" s="10"/>
      <x:c r="H25" s="9"/>
      <x:c r="I25" s="7"/>
      <x:c r="J25" s="8"/>
      <x:c r="K25" s="13"/>
      <x:c r="L25" s="13"/>
      <x:c r="M25" s="14"/>
    </x:row>
    <x:row r="28" ht="16.5">
      <x:c r="A28" s="21" t="s">
        <x:v>84</x:v>
      </x:c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30">
      <x:c r="A30" s="2" t="s">
        <x:v>85</x:v>
      </x:c>
      <x:c r="B30" s="2" t="s">
        <x:v>22</x:v>
      </x:c>
      <x:c r="C30" s="2" t="s">
        <x:v>86</x:v>
      </x:c>
      <x:c r="D30" s="2" t="s">
        <x:v>87</x:v>
      </x:c>
      <x:c r="E30" s="2" t="s">
        <x:v>88</x:v>
      </x:c>
      <x:c r="F30" s="2" t="s">
        <x:v>89</x:v>
      </x:c>
      <x:c r="G30" s="2" t="s">
        <x:v>90</x:v>
      </x:c>
      <x:c r="H30" s="2" t="s">
        <x:v>91</x:v>
      </x:c>
      <x:c r="I30" s="2" t="s">
        <x:v>92</x:v>
      </x:c>
      <x:c r="J30" s="2" t="s">
        <x:v>93</x:v>
      </x:c>
      <x:c r="K30" s="2" t="s">
        <x:v>94</x:v>
      </x:c>
    </x:row>
    <x:row r="31">
      <x:c r="A31" s="7">
        <x:v>1001</x:v>
      </x:c>
      <x:c r="B31" s="8" t="s">
        <x:v>95</x:v>
      </x:c>
      <x:c r="C31" s="7" t="s">
        <x:v>96</x:v>
      </x:c>
      <x:c r="D31" s="7">
        <x:v>10</x:v>
      </x:c>
      <x:c r="E31" s="7">
        <x:v>5</x:v>
      </x:c>
      <x:c r="F31" s="7">
        <x:v>2</x:v>
      </x:c>
      <x:c r="G31" s="7" t="n">
        <x:f>E31-F31</x:f>
        <x:v>3</x:v>
      </x:c>
      <x:c r="H31" s="9">
        <x:v>12000</x:v>
      </x:c>
      <x:c r="I31" s="10">
        <x:v>0.1</x:v>
      </x:c>
      <x:c r="J31" s="9" t="n">
        <x:f>H31*(1-I31)</x:f>
        <x:v>10800</x:v>
      </x:c>
      <x:c r="K31" s="7" t="n">
        <x:f>F31</x:f>
        <x:v>2</x:v>
      </x:c>
    </x:row>
    <x:row r="32">
      <x:c r="A32" s="7">
        <x:v>1002</x:v>
      </x:c>
      <x:c r="B32" s="8" t="s">
        <x:v>97</x:v>
      </x:c>
      <x:c r="C32" s="7" t="s">
        <x:v>98</x:v>
      </x:c>
      <x:c r="D32" s="7">
        <x:v>8</x:v>
      </x:c>
      <x:c r="E32" s="7">
        <x:v>4</x:v>
      </x:c>
      <x:c r="F32" s="7">
        <x:v>1</x:v>
      </x:c>
      <x:c r="G32" s="7" t="n">
        <x:f>E32-F32</x:f>
        <x:v>3</x:v>
      </x:c>
      <x:c r="H32" s="9">
        <x:v>5000</x:v>
      </x:c>
      <x:c r="I32" s="10">
        <x:v>0</x:v>
      </x:c>
      <x:c r="J32" s="9" t="n">
        <x:f>H32*(1-I32)</x:f>
        <x:v>5000</x:v>
      </x:c>
      <x:c r="K32" s="7" t="n">
        <x:f>F32</x:f>
        <x:v>1</x:v>
      </x:c>
    </x:row>
    <x:row r="33">
      <x:c r="A33" s="7">
        <x:v>1003</x:v>
      </x:c>
      <x:c r="B33" s="8" t="s">
        <x:v>99</x:v>
      </x:c>
      <x:c r="C33" s="7" t="s">
        <x:v>100</x:v>
      </x:c>
      <x:c r="D33" s="7">
        <x:v>6</x:v>
      </x:c>
      <x:c r="E33" s="7">
        <x:v>3</x:v>
      </x:c>
      <x:c r="F33" s="7">
        <x:v>3</x:v>
      </x:c>
      <x:c r="G33" s="7" t="n">
        <x:f>E33-F33</x:f>
        <x:v>0</x:v>
      </x:c>
      <x:c r="H33" s="9">
        <x:v>15000</x:v>
      </x:c>
      <x:c r="I33" s="10">
        <x:v>0.15</x:v>
      </x:c>
      <x:c r="J33" s="9" t="n">
        <x:f>H33*(1-I33)</x:f>
        <x:v>12750</x:v>
      </x:c>
      <x:c r="K33" s="7" t="n">
        <x:f>F33</x:f>
        <x:v>3</x:v>
      </x:c>
    </x:row>
    <x:row r="34">
      <x:c r="A34" s="7"/>
      <x:c r="B34" s="8"/>
      <x:c r="C34" s="7"/>
      <x:c r="D34" s="7"/>
      <x:c r="E34" s="7"/>
      <x:c r="F34" s="7"/>
      <x:c r="G34" s="7"/>
      <x:c r="H34" s="9"/>
      <x:c r="I34" s="10"/>
      <x:c r="J34" s="9"/>
      <x:c r="K34" s="7"/>
    </x:row>
    <x:row r="35">
      <x:c r="A35" s="7"/>
      <x:c r="B35" s="8"/>
      <x:c r="C35" s="7"/>
      <x:c r="D35" s="7"/>
      <x:c r="E35" s="7"/>
      <x:c r="F35" s="7"/>
      <x:c r="G35" s="7"/>
      <x:c r="H35" s="9"/>
      <x:c r="I35" s="10"/>
      <x:c r="J35" s="9"/>
      <x:c r="K35" s="7"/>
    </x:row>
    <x:row r="36">
      <x:c r="A36" s="7"/>
      <x:c r="B36" s="8"/>
      <x:c r="C36" s="7"/>
      <x:c r="D36" s="7"/>
      <x:c r="E36" s="7"/>
      <x:c r="F36" s="7"/>
      <x:c r="G36" s="7"/>
      <x:c r="H36" s="9"/>
      <x:c r="I36" s="10"/>
      <x:c r="J36" s="9"/>
      <x:c r="K36" s="7"/>
    </x:row>
    <x:row r="37">
      <x:c r="A37" s="7"/>
      <x:c r="B37" s="8"/>
      <x:c r="C37" s="7"/>
      <x:c r="D37" s="7"/>
      <x:c r="E37" s="7"/>
      <x:c r="F37" s="7"/>
      <x:c r="G37" s="7"/>
      <x:c r="H37" s="9"/>
      <x:c r="I37" s="10"/>
      <x:c r="J37" s="9"/>
      <x:c r="K37" s="7"/>
    </x:row>
    <x:row r="38">
      <x:c r="A38" s="7"/>
      <x:c r="B38" s="8"/>
      <x:c r="C38" s="7"/>
      <x:c r="D38" s="7"/>
      <x:c r="E38" s="7"/>
      <x:c r="F38" s="7"/>
      <x:c r="G38" s="7"/>
      <x:c r="H38" s="9"/>
      <x:c r="I38" s="10"/>
      <x:c r="J38" s="9"/>
      <x:c r="K38" s="7"/>
    </x:row>
    <x:row r="39">
      <x:c r="A39" s="7"/>
      <x:c r="B39" s="8"/>
      <x:c r="C39" s="7"/>
      <x:c r="D39" s="7"/>
      <x:c r="E39" s="7"/>
      <x:c r="F39" s="7"/>
      <x:c r="G39" s="7"/>
      <x:c r="H39" s="9"/>
      <x:c r="I39" s="10"/>
      <x:c r="J39" s="9"/>
      <x:c r="K39" s="7"/>
    </x:row>
    <x:row r="40">
      <x:c r="A40" s="7"/>
      <x:c r="B40" s="8"/>
      <x:c r="C40" s="7"/>
      <x:c r="D40" s="7"/>
      <x:c r="E40" s="7"/>
      <x:c r="F40" s="7"/>
      <x:c r="G40" s="7"/>
      <x:c r="H40" s="9"/>
      <x:c r="I40" s="10"/>
      <x:c r="J40" s="9"/>
      <x:c r="K40" s="7"/>
    </x:row>
    <x:row r="41">
      <x:c r="A41" s="7"/>
      <x:c r="B41" s="8"/>
      <x:c r="C41" s="7"/>
      <x:c r="D41" s="7"/>
      <x:c r="E41" s="7"/>
      <x:c r="F41" s="7"/>
      <x:c r="G41" s="7"/>
      <x:c r="H41" s="9"/>
      <x:c r="I41" s="10"/>
      <x:c r="J41" s="9"/>
      <x:c r="K41" s="7"/>
    </x:row>
    <x:row r="42">
      <x:c r="A42" s="7"/>
      <x:c r="B42" s="8"/>
      <x:c r="C42" s="7"/>
      <x:c r="D42" s="7"/>
      <x:c r="E42" s="7"/>
      <x:c r="F42" s="7"/>
      <x:c r="G42" s="7"/>
      <x:c r="H42" s="9"/>
      <x:c r="I42" s="10"/>
      <x:c r="J42" s="9"/>
      <x:c r="K42" s="7"/>
    </x:row>
    <x:row r="43">
      <x:c r="A43" s="7"/>
      <x:c r="B43" s="8"/>
      <x:c r="C43" s="7"/>
      <x:c r="D43" s="7"/>
      <x:c r="E43" s="7"/>
      <x:c r="F43" s="7"/>
      <x:c r="G43" s="7"/>
      <x:c r="H43" s="9"/>
      <x:c r="I43" s="10"/>
      <x:c r="J43" s="9"/>
      <x:c r="K43" s="7"/>
    </x:row>
    <x:row r="44">
      <x:c r="A44" s="7"/>
      <x:c r="B44" s="8"/>
      <x:c r="C44" s="7"/>
      <x:c r="D44" s="7"/>
      <x:c r="E44" s="7"/>
      <x:c r="F44" s="7"/>
      <x:c r="G44" s="7"/>
      <x:c r="H44" s="9"/>
      <x:c r="I44" s="10"/>
      <x:c r="J44" s="9"/>
      <x:c r="K44" s="7"/>
    </x:row>
    <x:row r="45">
      <x:c r="A45" s="7"/>
      <x:c r="B45" s="8"/>
      <x:c r="C45" s="7"/>
      <x:c r="D45" s="7"/>
      <x:c r="E45" s="7"/>
      <x:c r="F45" s="7"/>
      <x:c r="G45" s="7"/>
      <x:c r="H45" s="9"/>
      <x:c r="I45" s="10"/>
      <x:c r="J45" s="9"/>
      <x:c r="K45" s="7"/>
    </x:row>
  </x:sheetData>
  <x:mergeCells>
    <x:mergeCell ref="A1:M1"/>
    <x:mergeCell ref="A28:K28"/>
  </x:mergeCells>
  <x:dataValidations count="2">
    <x:dataValidation type="list" sqref="B8:B25">
      <x:formula1>"미입금,입금완료,포장중,출고완료,킵,취소"</x:formula1>
    </x:dataValidation>
    <x:dataValidation type="list" sqref="F8:F25">
      <x:formula1>"Y,N"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3" customWidth="1"/>
    <x:col min="2" max="2" width="15" customWidth="1"/>
    <x:col min="3" max="3" width="32" customWidth="1"/>
    <x:col min="4" max="4" width="10" customWidth="1"/>
    <x:col min="5" max="5" width="13" customWidth="1"/>
    <x:col min="6" max="6" width="32" customWidth="1"/>
    <x:col min="7" max="7" width="13" customWidth="1"/>
    <x:col min="8" max="8" width="11" customWidth="1"/>
    <x:col min="9" max="9" width="13" customWidth="1"/>
    <x:col min="10" max="10" width="10" customWidth="1"/>
  </x:cols>
  <x:sheetData>
    <x:row r="1" ht="19.5">
      <x:c r="A1" s="23" t="s">
        <x:v>101</x:v>
      </x:c>
      <x:c r="B1" s="23"/>
      <x:c r="C1" s="23"/>
      <x:c r="D1" s="23"/>
      <x:c r="E1" s="23"/>
      <x:c r="F1" s="23"/>
      <x:c r="G1" s="23"/>
      <x:c r="H1" s="23"/>
      <x:c r="I1" s="23"/>
      <x:c r="J1" s="23"/>
    </x:row>
    <x:row r="3">
      <x:c r="A3" s="2" t="s">
        <x:v>102</x:v>
      </x:c>
      <x:c r="B3" s="2" t="s">
        <x:v>6</x:v>
      </x:c>
      <x:c r="C3" s="2" t="s">
        <x:v>17</x:v>
      </x:c>
      <x:c r="D3" s="2" t="s">
        <x:v>103</x:v>
      </x:c>
      <x:c r="E3" s="2" t="s">
        <x:v>104</x:v>
      </x:c>
      <x:c r="F3" s="2" t="s">
        <x:v>105</x:v>
      </x:c>
      <x:c r="G3" s="2" t="s">
        <x:v>69</x:v>
      </x:c>
      <x:c r="H3" s="2" t="s">
        <x:v>106</x:v>
      </x:c>
      <x:c r="I3" s="2" t="s">
        <x:v>70</x:v>
      </x:c>
      <x:c r="J3" s="2" t="s">
        <x:v>71</x:v>
      </x:c>
    </x:row>
    <x:row r="4">
      <x:c r="A4" s="7" t="s">
        <x:v>5</x:v>
      </x:c>
      <x:c r="B4" s="7" t="s">
        <x:v>7</x:v>
      </x:c>
      <x:c r="C4" s="8" t="s">
        <x:v>107</x:v>
      </x:c>
      <x:c r="D4" s="15">
        <x:v>1000</x:v>
      </x:c>
      <x:c r="E4" s="15">
        <x:v>0</x:v>
      </x:c>
      <x:c r="F4" s="8" t="s">
        <x:v>108</x:v>
      </x:c>
      <x:c r="G4" s="13">
        <x:v>46192</x:v>
      </x:c>
      <x:c r="H4" s="7">
        <x:v>7</x:v>
      </x:c>
      <x:c r="I4" s="13" t="n">
        <x:f>G4+H4</x:f>
        <x:v>46199</x:v>
      </x:c>
      <x:c r="J4" s="14" t="n">
        <x:f>I4-TODAY()</x:f>
        <x:v>7</x:v>
      </x:c>
    </x:row>
    <x:row r="5">
      <x:c r="A5" s="7" t="s">
        <x:v>77</x:v>
      </x:c>
      <x:c r="B5" s="7" t="s">
        <x:v>78</x:v>
      </x:c>
      <x:c r="C5" s="8" t="s">
        <x:v>109</x:v>
      </x:c>
      <x:c r="D5" s="15">
        <x:v>3500</x:v>
      </x:c>
      <x:c r="E5" s="15">
        <x:v>1000</x:v>
      </x:c>
      <x:c r="F5" s="8" t="s">
        <x:v>110</x:v>
      </x:c>
      <x:c r="G5" s="13">
        <x:v>46192</x:v>
      </x:c>
      <x:c r="H5" s="7">
        <x:v>7</x:v>
      </x:c>
      <x:c r="I5" s="13" t="n">
        <x:f>G5+H5</x:f>
        <x:v>46199</x:v>
      </x:c>
      <x:c r="J5" s="14" t="n">
        <x:f>I5-TODAY()</x:f>
        <x:v>7</x:v>
      </x:c>
    </x:row>
    <x:row r="6">
      <x:c r="A6" s="7"/>
      <x:c r="B6" s="7"/>
      <x:c r="C6" s="8"/>
      <x:c r="D6" s="15"/>
      <x:c r="E6" s="15"/>
      <x:c r="F6" s="8"/>
      <x:c r="G6" s="13"/>
      <x:c r="H6" s="7"/>
      <x:c r="I6" s="13"/>
      <x:c r="J6" s="14"/>
    </x:row>
    <x:row r="7">
      <x:c r="A7" s="7"/>
      <x:c r="B7" s="7"/>
      <x:c r="C7" s="8"/>
      <x:c r="D7" s="15"/>
      <x:c r="E7" s="15"/>
      <x:c r="F7" s="8"/>
      <x:c r="G7" s="13"/>
      <x:c r="H7" s="7"/>
      <x:c r="I7" s="13"/>
      <x:c r="J7" s="14"/>
    </x:row>
    <x:row r="8">
      <x:c r="A8" s="7"/>
      <x:c r="B8" s="7"/>
      <x:c r="C8" s="8"/>
      <x:c r="D8" s="15"/>
      <x:c r="E8" s="15"/>
      <x:c r="F8" s="8"/>
      <x:c r="G8" s="13"/>
      <x:c r="H8" s="7"/>
      <x:c r="I8" s="13"/>
      <x:c r="J8" s="14"/>
    </x:row>
    <x:row r="9">
      <x:c r="A9" s="7"/>
      <x:c r="B9" s="7"/>
      <x:c r="C9" s="8"/>
      <x:c r="D9" s="15"/>
      <x:c r="E9" s="15"/>
      <x:c r="F9" s="8"/>
      <x:c r="G9" s="13"/>
      <x:c r="H9" s="7"/>
      <x:c r="I9" s="13"/>
      <x:c r="J9" s="14"/>
    </x:row>
    <x:row r="10">
      <x:c r="A10" s="7"/>
      <x:c r="B10" s="7"/>
      <x:c r="C10" s="8"/>
      <x:c r="D10" s="15"/>
      <x:c r="E10" s="15"/>
      <x:c r="F10" s="8"/>
      <x:c r="G10" s="13"/>
      <x:c r="H10" s="7"/>
      <x:c r="I10" s="13"/>
      <x:c r="J10" s="14"/>
    </x:row>
    <x:row r="11">
      <x:c r="A11" s="7"/>
      <x:c r="B11" s="7"/>
      <x:c r="C11" s="8"/>
      <x:c r="D11" s="15"/>
      <x:c r="E11" s="15"/>
      <x:c r="F11" s="8"/>
      <x:c r="G11" s="13"/>
      <x:c r="H11" s="7"/>
      <x:c r="I11" s="13"/>
      <x:c r="J11" s="14"/>
    </x:row>
    <x:row r="12">
      <x:c r="A12" s="7"/>
      <x:c r="B12" s="7"/>
      <x:c r="C12" s="8"/>
      <x:c r="D12" s="15"/>
      <x:c r="E12" s="15"/>
      <x:c r="F12" s="8"/>
      <x:c r="G12" s="13"/>
      <x:c r="H12" s="7"/>
      <x:c r="I12" s="13"/>
      <x:c r="J12" s="14"/>
    </x:row>
    <x:row r="13">
      <x:c r="A13" s="7"/>
      <x:c r="B13" s="7"/>
      <x:c r="C13" s="8"/>
      <x:c r="D13" s="15"/>
      <x:c r="E13" s="15"/>
      <x:c r="F13" s="8"/>
      <x:c r="G13" s="13"/>
      <x:c r="H13" s="7"/>
      <x:c r="I13" s="13"/>
      <x:c r="J13" s="14"/>
    </x:row>
    <x:row r="14">
      <x:c r="A14" s="7"/>
      <x:c r="B14" s="7"/>
      <x:c r="C14" s="8"/>
      <x:c r="D14" s="15"/>
      <x:c r="E14" s="15"/>
      <x:c r="F14" s="8"/>
      <x:c r="G14" s="13"/>
      <x:c r="H14" s="7"/>
      <x:c r="I14" s="13"/>
      <x:c r="J14" s="14"/>
    </x:row>
    <x:row r="15">
      <x:c r="A15" s="7"/>
      <x:c r="B15" s="7"/>
      <x:c r="C15" s="8"/>
      <x:c r="D15" s="15"/>
      <x:c r="E15" s="15"/>
      <x:c r="F15" s="8"/>
      <x:c r="G15" s="13"/>
      <x:c r="H15" s="7"/>
      <x:c r="I15" s="13"/>
      <x:c r="J15" s="14"/>
    </x:row>
    <x:row r="16">
      <x:c r="A16" s="7"/>
      <x:c r="B16" s="7"/>
      <x:c r="C16" s="8"/>
      <x:c r="D16" s="15"/>
      <x:c r="E16" s="15"/>
      <x:c r="F16" s="8"/>
      <x:c r="G16" s="13"/>
      <x:c r="H16" s="7"/>
      <x:c r="I16" s="13"/>
      <x:c r="J16" s="14"/>
    </x:row>
    <x:row r="17">
      <x:c r="A17" s="7"/>
      <x:c r="B17" s="7"/>
      <x:c r="C17" s="8"/>
      <x:c r="D17" s="15"/>
      <x:c r="E17" s="15"/>
      <x:c r="F17" s="8"/>
      <x:c r="G17" s="13"/>
      <x:c r="H17" s="7"/>
      <x:c r="I17" s="13"/>
      <x:c r="J17" s="14"/>
    </x:row>
    <x:row r="18">
      <x:c r="A18" s="7"/>
      <x:c r="B18" s="7"/>
      <x:c r="C18" s="8"/>
      <x:c r="D18" s="15"/>
      <x:c r="E18" s="15"/>
      <x:c r="F18" s="8"/>
      <x:c r="G18" s="13"/>
      <x:c r="H18" s="7"/>
      <x:c r="I18" s="13"/>
      <x:c r="J18" s="14"/>
    </x:row>
    <x:row r="19">
      <x:c r="A19" s="7"/>
      <x:c r="B19" s="7"/>
      <x:c r="C19" s="8"/>
      <x:c r="D19" s="15"/>
      <x:c r="E19" s="15"/>
      <x:c r="F19" s="8"/>
      <x:c r="G19" s="13"/>
      <x:c r="H19" s="7"/>
      <x:c r="I19" s="13"/>
      <x:c r="J19" s="14"/>
    </x:row>
    <x:row r="20">
      <x:c r="A20" s="7"/>
      <x:c r="B20" s="7"/>
      <x:c r="C20" s="8"/>
      <x:c r="D20" s="15"/>
      <x:c r="E20" s="15"/>
      <x:c r="F20" s="8"/>
      <x:c r="G20" s="13"/>
      <x:c r="H20" s="7"/>
      <x:c r="I20" s="13"/>
      <x:c r="J20" s="14"/>
    </x:row>
    <x:row r="21">
      <x:c r="A21" s="7"/>
      <x:c r="B21" s="7"/>
      <x:c r="C21" s="8"/>
      <x:c r="D21" s="15"/>
      <x:c r="E21" s="15"/>
      <x:c r="F21" s="8"/>
      <x:c r="G21" s="13"/>
      <x:c r="H21" s="7"/>
      <x:c r="I21" s="13"/>
      <x:c r="J21" s="14"/>
    </x:row>
    <x:row r="22">
      <x:c r="A22" s="7"/>
      <x:c r="B22" s="7"/>
      <x:c r="C22" s="8"/>
      <x:c r="D22" s="15"/>
      <x:c r="E22" s="15"/>
      <x:c r="F22" s="8"/>
      <x:c r="G22" s="13"/>
      <x:c r="H22" s="7"/>
      <x:c r="I22" s="13"/>
      <x:c r="J22" s="14"/>
    </x:row>
    <x:row r="23">
      <x:c r="A23" s="7"/>
      <x:c r="B23" s="7"/>
      <x:c r="C23" s="8"/>
      <x:c r="D23" s="15"/>
      <x:c r="E23" s="15"/>
      <x:c r="F23" s="8"/>
      <x:c r="G23" s="13"/>
      <x:c r="H23" s="7"/>
      <x:c r="I23" s="13"/>
      <x:c r="J23" s="14"/>
    </x:row>
    <x:row r="24">
      <x:c r="A24" s="7"/>
      <x:c r="B24" s="7"/>
      <x:c r="C24" s="8"/>
      <x:c r="D24" s="15"/>
      <x:c r="E24" s="15"/>
      <x:c r="F24" s="8"/>
      <x:c r="G24" s="13"/>
      <x:c r="H24" s="7"/>
      <x:c r="I24" s="13"/>
      <x:c r="J24" s="14"/>
    </x:row>
    <x:row r="25">
      <x:c r="A25" s="7"/>
      <x:c r="B25" s="7"/>
      <x:c r="C25" s="8"/>
      <x:c r="D25" s="15"/>
      <x:c r="E25" s="15"/>
      <x:c r="F25" s="8"/>
      <x:c r="G25" s="13"/>
      <x:c r="H25" s="7"/>
      <x:c r="I25" s="13"/>
      <x:c r="J25" s="14"/>
    </x:row>
    <x:row r="26">
      <x:c r="A26" s="7"/>
      <x:c r="B26" s="7"/>
      <x:c r="C26" s="8"/>
      <x:c r="D26" s="15"/>
      <x:c r="E26" s="15"/>
      <x:c r="F26" s="8"/>
      <x:c r="G26" s="13"/>
      <x:c r="H26" s="7"/>
      <x:c r="I26" s="13"/>
      <x:c r="J26" s="14"/>
    </x:row>
    <x:row r="27">
      <x:c r="A27" s="7"/>
      <x:c r="B27" s="7"/>
      <x:c r="C27" s="8"/>
      <x:c r="D27" s="15"/>
      <x:c r="E27" s="15"/>
      <x:c r="F27" s="8"/>
      <x:c r="G27" s="13"/>
      <x:c r="H27" s="7"/>
      <x:c r="I27" s="13"/>
      <x:c r="J27" s="14"/>
    </x:row>
    <x:row r="28">
      <x:c r="A28" s="7"/>
      <x:c r="B28" s="7"/>
      <x:c r="C28" s="8"/>
      <x:c r="D28" s="15"/>
      <x:c r="E28" s="15"/>
      <x:c r="F28" s="8"/>
      <x:c r="G28" s="13"/>
      <x:c r="H28" s="7"/>
      <x:c r="I28" s="13"/>
      <x:c r="J28" s="14"/>
    </x:row>
    <x:row r="29">
      <x:c r="A29" s="7"/>
      <x:c r="B29" s="7"/>
      <x:c r="C29" s="8"/>
      <x:c r="D29" s="15"/>
      <x:c r="E29" s="15"/>
      <x:c r="F29" s="8"/>
      <x:c r="G29" s="13"/>
      <x:c r="H29" s="7"/>
      <x:c r="I29" s="13"/>
      <x:c r="J29" s="14"/>
    </x:row>
    <x:row r="30">
      <x:c r="A30" s="7"/>
      <x:c r="B30" s="7"/>
      <x:c r="C30" s="8"/>
      <x:c r="D30" s="15"/>
      <x:c r="E30" s="15"/>
      <x:c r="F30" s="8"/>
      <x:c r="G30" s="13"/>
      <x:c r="H30" s="7"/>
      <x:c r="I30" s="13"/>
      <x:c r="J30" s="14"/>
    </x:row>
  </x:sheetData>
  <x:mergeCells>
    <x:mergeCell ref="A1:J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18" customWidth="1"/>
    <x:col min="2" max="2" width="36" customWidth="1"/>
    <x:col min="3" max="3" width="44" customWidth="1"/>
    <x:col min="4" max="4" width="14" customWidth="1"/>
  </x:cols>
  <x:sheetData>
    <x:row r="1" ht="19.5">
      <x:c r="A1" s="23" t="s">
        <x:v>111</x:v>
      </x:c>
      <x:c r="B1" s="23"/>
      <x:c r="C1" s="23"/>
      <x:c r="D1" s="23"/>
    </x:row>
    <x:row r="3">
      <x:c r="A3" s="2" t="s">
        <x:v>112</x:v>
      </x:c>
      <x:c r="B3" s="2" t="s">
        <x:v>113</x:v>
      </x:c>
      <x:c r="C3" s="2" t="s">
        <x:v>114</x:v>
      </x:c>
      <x:c r="D3" s="2" t="s">
        <x:v>115</x:v>
      </x:c>
    </x:row>
    <x:row r="4">
      <x:c r="A4" s="8" t="s">
        <x:v>116</x:v>
      </x:c>
      <x:c r="B4" s="8" t="s">
        <x:v>117</x:v>
      </x:c>
      <x:c r="C4" s="8" t="s">
        <x:v>118</x:v>
      </x:c>
      <x:c r="D4" s="8" t="s">
        <x:v>28</x:v>
      </x:c>
    </x:row>
    <x:row r="5">
      <x:c r="A5" s="8" t="s">
        <x:v>119</x:v>
      </x:c>
      <x:c r="B5" s="8" t="s">
        <x:v>120</x:v>
      </x:c>
      <x:c r="C5" s="8" t="s">
        <x:v>121</x:v>
      </x:c>
      <x:c r="D5" s="8" t="s">
        <x:v>28</x:v>
      </x:c>
    </x:row>
    <x:row r="6">
      <x:c r="A6" s="8" t="s">
        <x:v>122</x:v>
      </x:c>
      <x:c r="B6" s="8" t="s">
        <x:v>123</x:v>
      </x:c>
      <x:c r="C6" s="8" t="s">
        <x:v>124</x:v>
      </x:c>
      <x:c r="D6" s="8" t="s">
        <x:v>28</x:v>
      </x:c>
    </x:row>
    <x:row r="7">
      <x:c r="A7" s="8" t="s">
        <x:v>125</x:v>
      </x:c>
      <x:c r="B7" s="8" t="s">
        <x:v>117</x:v>
      </x:c>
      <x:c r="C7" s="8" t="s">
        <x:v>126</x:v>
      </x:c>
      <x:c r="D7" s="8" t="s">
        <x:v>28</x:v>
      </x:c>
    </x:row>
    <x:row r="8">
      <x:c r="A8" s="8" t="s">
        <x:v>127</x:v>
      </x:c>
      <x:c r="B8" s="16">
        <x:v>4000</x:v>
      </x:c>
      <x:c r="C8" s="8" t="s">
        <x:v>128</x:v>
      </x:c>
      <x:c r="D8" s="8" t="s">
        <x:v>28</x:v>
      </x:c>
    </x:row>
    <x:row r="9">
      <x:c r="A9" s="8" t="s">
        <x:v>129</x:v>
      </x:c>
      <x:c r="B9" s="17">
        <x:v>0.03</x:v>
      </x:c>
      <x:c r="C9" s="8" t="s">
        <x:v>130</x:v>
      </x:c>
      <x:c r="D9" s="8" t="s">
        <x:v>28</x:v>
      </x:c>
    </x:row>
    <x:row r="10">
      <x:c r="A10" s="8" t="s">
        <x:v>131</x:v>
      </x:c>
      <x:c r="B10" s="8" t="s">
        <x:v>13</x:v>
      </x:c>
      <x:c r="C10" s="8" t="s">
        <x:v>132</x:v>
      </x:c>
      <x:c r="D10" s="8" t="s">
        <x:v>28</x:v>
      </x:c>
    </x:row>
    <x:row r="11">
      <x:c r="A11" s="8" t="s">
        <x:v>133</x:v>
      </x:c>
      <x:c r="B11" s="8">
        <x:v>7</x:v>
      </x:c>
      <x:c r="C11" s="8" t="s">
        <x:v>134</x:v>
      </x:c>
      <x:c r="D11" s="8" t="s">
        <x:v>28</x:v>
      </x:c>
    </x:row>
    <x:row r="12" ht="69.94999694824219" customHeight="1">
      <x:c r="A12" s="8" t="s">
        <x:v>59</x:v>
      </x:c>
      <x:c r="B12" s="8" t="s">
        <x:v>135</x:v>
      </x:c>
      <x:c r="C12" s="8" t="s">
        <x:v>136</x:v>
      </x:c>
      <x:c r="D12" s="8" t="s">
        <x:v>28</x:v>
      </x:c>
    </x:row>
  </x:sheetData>
  <x:mergeCells>
    <x:mergeCell ref="A1:D1"/>
  </x:mergeCells>
  <x:pageMargins left="0.7" right="0.7" top="0.75" bottom="0.75" header="0.3" footer="0.3"/>
</x:worksheet>
</file>